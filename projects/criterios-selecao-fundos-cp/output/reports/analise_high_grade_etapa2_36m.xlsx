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andd\Downloads\selecao_credito\"/>
    </mc:Choice>
  </mc:AlternateContent>
  <xr:revisionPtr revIDLastSave="0" documentId="13_ncr:1_{CD4CDAA4-9E62-4A30-A5F5-15FCA7FB071B}" xr6:coauthVersionLast="47" xr6:coauthVersionMax="47" xr10:uidLastSave="{00000000-0000-0000-0000-000000000000}"/>
  <bookViews>
    <workbookView xWindow="32970" yWindow="600" windowWidth="20340" windowHeight="14880" activeTab="1" xr2:uid="{00000000-000D-0000-FFFF-FFFF00000000}"/>
  </bookViews>
  <sheets>
    <sheet name="Todos os Fundos" sheetId="1" r:id="rId1"/>
    <sheet name="Rank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<sst xmlns="http://schemas.openxmlformats.org/spreadsheetml/2006/main" count="662" uniqueCount="236">
  <si>
    <t>Fundo</t>
  </si>
  <si>
    <t>Nome oficial</t>
  </si>
  <si>
    <t>Nome Quantum</t>
  </si>
  <si>
    <t>Taxa de administração a.a.</t>
  </si>
  <si>
    <t>Revisar de-para</t>
  </si>
  <si>
    <t>Série atualizada</t>
  </si>
  <si>
    <t>Elegível Etapa 2</t>
  </si>
  <si>
    <t>Motivo inelegibilidade Etapa 2</t>
  </si>
  <si>
    <t>Elegível ranking</t>
  </si>
  <si>
    <t>Motivo inelegibilidade ranking</t>
  </si>
  <si>
    <t>Início série diária</t>
  </si>
  <si>
    <t>Fim série diária</t>
  </si>
  <si>
    <t>Retornos diários</t>
  </si>
  <si>
    <t>Início série mensal</t>
  </si>
  <si>
    <t>Fim série mensal</t>
  </si>
  <si>
    <t>Meses completos</t>
  </si>
  <si>
    <t>Cluster</t>
  </si>
  <si>
    <t>Excesso CDI a.a.</t>
  </si>
  <si>
    <t>Hit rate mensal</t>
  </si>
  <si>
    <t>Hit rate 6 meses</t>
  </si>
  <si>
    <t>Janelas completas de 36 meses</t>
  </si>
  <si>
    <t>Hit rate 36 meses</t>
  </si>
  <si>
    <t>Volatilidade do excesso a.a.</t>
  </si>
  <si>
    <t>Pior mês relativo ao CDI</t>
  </si>
  <si>
    <t>Média dos 3 piores meses</t>
  </si>
  <si>
    <t>Autocorrelação lag 1</t>
  </si>
  <si>
    <t>Drawdown máximo do excesso</t>
  </si>
  <si>
    <t>Meses para recuperar</t>
  </si>
  <si>
    <t>Correlação média com pares</t>
  </si>
  <si>
    <t>Correlação mediana com pares</t>
  </si>
  <si>
    <t>Correlação máxima com par</t>
  </si>
  <si>
    <t>Fundo mais correlacionado</t>
  </si>
  <si>
    <t>Meses em comum com par mais próximo</t>
  </si>
  <si>
    <t>Benchmark de menor tracking error</t>
  </si>
  <si>
    <t>Menor tracking error a.a.</t>
  </si>
  <si>
    <t>Benchmark de maior correlação</t>
  </si>
  <si>
    <t>Maior correlação com benchmark</t>
  </si>
  <si>
    <t>Meses IDA LIQ-DI</t>
  </si>
  <si>
    <t>Correlação IDA LIQ-DI</t>
  </si>
  <si>
    <t>Tracking error IDA LIQ-DI a.a.</t>
  </si>
  <si>
    <t>Excesso vs. IDA LIQ-DI a.a.</t>
  </si>
  <si>
    <t>Hit rate mensal vs. IDA LIQ-DI</t>
  </si>
  <si>
    <t>Meses IDA-DI</t>
  </si>
  <si>
    <t>Correlação IDA-DI</t>
  </si>
  <si>
    <t>Tracking error IDA-DI a.a.</t>
  </si>
  <si>
    <t>Excesso vs. IDA-DI a.a.</t>
  </si>
  <si>
    <t>Hit rate mensal vs. IDA-DI</t>
  </si>
  <si>
    <t>Meses IRF-M 1</t>
  </si>
  <si>
    <t>Correlação IRF-M 1</t>
  </si>
  <si>
    <t>Tracking error IRF-M 1 a.a.</t>
  </si>
  <si>
    <t>Excesso vs. IRF-M 1 a.a.</t>
  </si>
  <si>
    <t>Hit rate mensal vs. IRF-M 1</t>
  </si>
  <si>
    <t>BOCOM BBM Corporate Credit Plus MULT</t>
  </si>
  <si>
    <t>BOCOM BBM Corporate Credit Plus FIF CIC MULT CP RL</t>
  </si>
  <si>
    <t>BOCOM BBM CORPORATE CREDIT PLUS RESP LIMITADA FIF CIC MULTIMERCADO CRÉDITO PRIVADO</t>
  </si>
  <si>
    <t>Bocom BBM Corporate Credit II</t>
  </si>
  <si>
    <t>IDA-DI</t>
  </si>
  <si>
    <t>Compass Yield 30</t>
  </si>
  <si>
    <t>Compass Yield 30 FIF RF CP LP RL</t>
  </si>
  <si>
    <t>COMPASS YIELD 30 FIF RENDA FIXA</t>
  </si>
  <si>
    <t>Plural Crédito Corporativo II</t>
  </si>
  <si>
    <t>SulAmérica Crédito ESG</t>
  </si>
  <si>
    <t>SulAmérica Crédito ESG FIRF CP LP IS</t>
  </si>
  <si>
    <t>SULAMÉRICA CRÉDITO ESG INVEST SUSTENTÁVEL RESP LIMITADA FIF RENDA FIXA CRÉDITO PRIVADO LP</t>
  </si>
  <si>
    <t>SulAmérica Crédito Ativo</t>
  </si>
  <si>
    <t>Integral</t>
  </si>
  <si>
    <t>Integral FIRF CP</t>
  </si>
  <si>
    <t>INTEGRAL FIF RENDA FIXA</t>
  </si>
  <si>
    <t>Porto Seguro Ipê</t>
  </si>
  <si>
    <t>Vinland Crédito</t>
  </si>
  <si>
    <t>Vinland Crédito Multimercado FIC FI CP</t>
  </si>
  <si>
    <t>VINLAND CRÉDITO RESP LIMITADA FIF CIC MULTIMERCADO CRÉDITO PRIVADO</t>
  </si>
  <si>
    <t>Absolute Creta Advisory</t>
  </si>
  <si>
    <t>IRF-M 1</t>
  </si>
  <si>
    <t>Ibiuna Credit</t>
  </si>
  <si>
    <t>Ibiuna Credit FIF CIC Multimercado CP RL</t>
  </si>
  <si>
    <t>IBIUNA CREDIT RESP LIMITADA FIF CIC MULTIMERCADO CRÉDITO PRIVADO</t>
  </si>
  <si>
    <t>JGP Crédito Advisory</t>
  </si>
  <si>
    <t>Root Capital Crédito HG Plus</t>
  </si>
  <si>
    <t>Root Capital Crédito HG Plus FIC de FIF Multimercado CP RL</t>
  </si>
  <si>
    <t>ROOT CAPITAL CRÉDITO HG PLUS RESP LIMITADA FIF CIC MULTIMERCADO CRÉDITO PRIVADO</t>
  </si>
  <si>
    <t>Polo Crédito Corporativo Advisory</t>
  </si>
  <si>
    <t>ARX Everest Advisory</t>
  </si>
  <si>
    <t>ARX Everest Advisory FIC de FIF RF CP RL</t>
  </si>
  <si>
    <t>ARX EVEREST ADVISORY RESP LIMITADA FIF CIC RENDA FIXA CRÉDITO PRIVADO</t>
  </si>
  <si>
    <t>Iridium Titan Advisory</t>
  </si>
  <si>
    <t>Polo Crédito Corporativo Advisory FIC FIF RF CP LP RL</t>
  </si>
  <si>
    <t>POLO CRÉDITO CORPORATIVO ADVISORY RESP LIMITADA FIF CIC RENDA FIXA CRÉDITO PRIVADO LP</t>
  </si>
  <si>
    <t>Novus Crédito</t>
  </si>
  <si>
    <t>Novus Crédito FIM CP LP</t>
  </si>
  <si>
    <t>NOVUS CRÉDITO HIGH GRADE FI MULTIMERCADO LP</t>
  </si>
  <si>
    <t>XP Corporate Plus</t>
  </si>
  <si>
    <t>XP Corporate Plus FIC FIF Multi CP RL</t>
  </si>
  <si>
    <t>XP CORPORATE PLUS RESP LIMITADA FIF CIC MULTIMERCADO CRÉDITO PRIVADO</t>
  </si>
  <si>
    <t>Selection Light</t>
  </si>
  <si>
    <t>Sparta Max Advisory</t>
  </si>
  <si>
    <t>Sparta Max Advisory FIC de FIF RF CP LP RL</t>
  </si>
  <si>
    <t>SPARTA MAX ADVISORY RESP LIMITADA FIF CIC RENDA FIXA CRÉDITO PRIVADO LP</t>
  </si>
  <si>
    <t>Sparta Top</t>
  </si>
  <si>
    <t>Bocom BBM Corporate Credit II FIF RF CP RL</t>
  </si>
  <si>
    <t>BOCOM BBM CORPORATE CREDIT II RESP LIMITADA FIF CIC RENDA FIXA CRÉDITO PRIVADO</t>
  </si>
  <si>
    <t>Porto Seguro Ipê RF FIC FI CP LP</t>
  </si>
  <si>
    <t>PORTO SEGURO IPÊ RESP LIMITADA FIF CIC RENDA FIXA CRÉDITO PRIVADO LP</t>
  </si>
  <si>
    <t>Iridium Titan Advisory FIC em FIF RF CP RL</t>
  </si>
  <si>
    <t>IRIDIUM TITAN ADVISORY RESP LIMITADA FIF CIC RENDA FIXA CRÉDITO PRIVADO</t>
  </si>
  <si>
    <t>XP Corporate Top</t>
  </si>
  <si>
    <t>Absolute Creta Advisory FIF FIRF</t>
  </si>
  <si>
    <t>ABSOLUTE CRETA ADVISORY FIF CIC RENDA FIXA</t>
  </si>
  <si>
    <t>Principal Claritas</t>
  </si>
  <si>
    <t>Principal Claritas FIF RF</t>
  </si>
  <si>
    <t>PRINCIPAL CLARITAS FIF RENDA FIXA</t>
  </si>
  <si>
    <t>JGP Corporate FEEDER II</t>
  </si>
  <si>
    <t>JGP Corporate FIC de FIF RF CP LP FEEDER II RL</t>
  </si>
  <si>
    <t>JGP CORPORATE FEEDER III RESP LIMITADA FIF CIC RENDA FIXA CRÉDITO PRIVADO LP</t>
  </si>
  <si>
    <t>Occam Crédito Corporativo 30</t>
  </si>
  <si>
    <t>Occam Crédito Corporativo 30 FIC FIF RF CP LP RL</t>
  </si>
  <si>
    <t>OCCAM CRÉDITO CORPORATIVO 30 RESP LIMITADA FIF CIC RENDA FIXA</t>
  </si>
  <si>
    <t>SPX Seahawk Advisory</t>
  </si>
  <si>
    <t>SPX Seahawk Advisory FIC FIRF CP LP</t>
  </si>
  <si>
    <t>SPX SEAHAWK ADVISORY RESP LIMITADA FIF CIC RENDA FIXA CRÉDITO PRIVADO LP</t>
  </si>
  <si>
    <t>Atena Yield D30</t>
  </si>
  <si>
    <t>Atena Yield D30 FIC de FIF RF CP RL</t>
  </si>
  <si>
    <t>ATENA YIELD D30 FIF CIC RENDA FIXA</t>
  </si>
  <si>
    <t>BTG Pactual Crédito Corporativo I</t>
  </si>
  <si>
    <t>BTG Pactual Crédito Corporativo I FIF em Cotas de FIRF</t>
  </si>
  <si>
    <t>BTG PACTUAL CRÉDITO CORPORATIVO I FIF CIC RENDA FIXA</t>
  </si>
  <si>
    <t>AF Invest Geraes 30</t>
  </si>
  <si>
    <t>Safra Polaris</t>
  </si>
  <si>
    <t>Safra Polaris Classe de Investimento RF CP RL</t>
  </si>
  <si>
    <t>SAFRA POLARIS RESP LIMITADA FIF RENDA FIXA CRÉDITO PRIVADO</t>
  </si>
  <si>
    <t>Daycoval Classic 30</t>
  </si>
  <si>
    <t>Daycoval Classic 30 FIRF CP</t>
  </si>
  <si>
    <t>DAYCOVAL CLASSIC 30 FIF</t>
  </si>
  <si>
    <t>BNP Paribas Match Plus 30 Advisory</t>
  </si>
  <si>
    <t>BNP Paribas Match Plus 30 Advisory FIF RF CP LP RL</t>
  </si>
  <si>
    <t>BNP PARIBAS MATCH PLUS 30 ADVISORY RESP LIMITADA FIF CIC RENDA FIXA CRÉDITO PRIVADO LP</t>
  </si>
  <si>
    <t>BNP Paribas Rubi</t>
  </si>
  <si>
    <t>XP Corporate Top CP FIF FIRF LP RL</t>
  </si>
  <si>
    <t>XP CORPORATE TOP RESP LIMITADA FIF RENDA FIXA CRÉDITO PRIVADO LP</t>
  </si>
  <si>
    <t>Sparta Top FIC FIF RF CP LP - Resp Limitada</t>
  </si>
  <si>
    <t>SPARTA TOP RESP LIMITADA FIF CIC RENDA FIXA CRÉDITO PRIVADO LP</t>
  </si>
  <si>
    <t>Augme 30 Advisory</t>
  </si>
  <si>
    <t>Augme 30 Advisory CIC RF CP LP RL</t>
  </si>
  <si>
    <t>AUGME 30 ADVISORY FIF CIC RENDA FIXA</t>
  </si>
  <si>
    <t>IDA LIQ-DI</t>
  </si>
  <si>
    <t>AZ Quest Altro Advisory</t>
  </si>
  <si>
    <t>AZ Quest Altro Advisory FIC de FIF Multimercado CP</t>
  </si>
  <si>
    <t>AZ QUEST ALTRO ADVISORY FIF CIC MULTIMERCADO CRÉDITO PRIVADO</t>
  </si>
  <si>
    <t>Arx Vinson Advisory</t>
  </si>
  <si>
    <t>Arx Vinson Advisory FIC de FIF RF CP RL</t>
  </si>
  <si>
    <t>ARX VINSON ADVISORY RESP LIMITADA FIF CIC RENDA FIXA CRÉDITO PRIVADO</t>
  </si>
  <si>
    <t>SulAmérica Crédito Ativo FIRF CP LP</t>
  </si>
  <si>
    <t>SULAMÉRICA CRÉDITO ATIVO RESP LIMITADA FIF RENDA FIXA CRÉDITO PRIVADO LP</t>
  </si>
  <si>
    <t>JGP Crédito Advisory FIF Multimercado CP RL</t>
  </si>
  <si>
    <t>JGP CRÉDITO ADVISORY RESP LIMITADA FIF MULTIMERCADO CRÉDITO PRIVADO</t>
  </si>
  <si>
    <t>Safra Vitesse</t>
  </si>
  <si>
    <t>Safra Vitesse Classe de Investimento RF CP RL</t>
  </si>
  <si>
    <t>SAFRA VITESSE RESP LIMITADA FIF RENDA FIXA CRÉDITO PRIVADO</t>
  </si>
  <si>
    <t>Safra Grand Vitesse</t>
  </si>
  <si>
    <t>Tivio Institucional 15</t>
  </si>
  <si>
    <t>TIVIO INSTITUCIONAL 15 RESP LIMITADA FIF RENDA FIXA CRÉDITO PRIVADO LP</t>
  </si>
  <si>
    <t>BNP Paribas Rubi FIF RF CP RL</t>
  </si>
  <si>
    <t>BNP PARIBAS RUBI RESP LIMITADA FIF CIC RENDA FIXA CRÉDITO PRIVADO</t>
  </si>
  <si>
    <t>Valora Absolute</t>
  </si>
  <si>
    <t>Valora Absolute FIF RF CP LP RL</t>
  </si>
  <si>
    <t>VALORA ABSOLUTE RESP LIMITADA FIF RENDA FIXA CRÉDITO PRIVADO LP</t>
  </si>
  <si>
    <t>Safra Grand Vitesse FIRF CP</t>
  </si>
  <si>
    <t>SAFRA GRAND VITESSE RESP LIMITADA FIF RENDA FIXA CRÉDITO PRIVADO</t>
  </si>
  <si>
    <t>XP Corporate Light</t>
  </si>
  <si>
    <t>XP Corporate Light FIRF CP LP</t>
  </si>
  <si>
    <t>XP CORPORATE LIGHT RESP LIMITADA FIF CIC RENDA FIXA CRÉDITO PRIVADO LP</t>
  </si>
  <si>
    <t>Riza Lotus Plus Advisory</t>
  </si>
  <si>
    <t>Riza Lotus Plus Advisory FIF RF</t>
  </si>
  <si>
    <t>RIZA LÓTUS PLUS ADVISORY FIF CIC RENDA FIXA</t>
  </si>
  <si>
    <t>Plural Crédito Corporativo II FIC de FIF RF CP LP RL</t>
  </si>
  <si>
    <t>PLURAL CRÉDITO CORPORATIVO II RESP LIMITADA FIF CIC RENDA FIXA CRÉDITO PRIVADO LP</t>
  </si>
  <si>
    <t>AF Invest Geraes 30 FIRF CP</t>
  </si>
  <si>
    <t>AF INVEST GERAES 30 FIF RENDA FIXA</t>
  </si>
  <si>
    <t>Selection RF Light FIC FIRF CP LP</t>
  </si>
  <si>
    <t>SELECTION RF LIGHT FIC RENDA FIXA CRÉDITO PRIVADO LP</t>
  </si>
  <si>
    <t>Mag High Grade Plus 30</t>
  </si>
  <si>
    <t>Mag High Grade Plus 30 FIF RF CP LP RL</t>
  </si>
  <si>
    <t>MAG HIGH GRADE PLUS 30 RESP LIMITADA FIF RENDA FIXA CRÉDITO PRIVADO LP</t>
  </si>
  <si>
    <t>Capitânia Premium 45</t>
  </si>
  <si>
    <t>Capitânia Premium 45 FIC de FIF RF CP LP RL</t>
  </si>
  <si>
    <t>CAPITÂNIA PREMIUM 45 RESP LIMITADA FIF CIC RENDA FIXA CRÉDITO PRIVADO LP</t>
  </si>
  <si>
    <t>Inter Premium</t>
  </si>
  <si>
    <t>Inter Premium FIF RF CP LP RL</t>
  </si>
  <si>
    <t>INTER PREMIUM RESP LIMITADA FIF RENDA FIXA CRÉDITO PRIVADO LP</t>
  </si>
  <si>
    <t>BB Asset</t>
  </si>
  <si>
    <t>BB Asset RF CP LP FIC FIF RL</t>
  </si>
  <si>
    <t>BB ASSET RESP LIMITADA FIF CIC RENDA FIXA CRÉDITO PRIVADO LP</t>
  </si>
  <si>
    <t>Ranking preliminar — fundos de crédito high grade</t>
  </si>
  <si>
    <t>Retorno</t>
  </si>
  <si>
    <t>Consistência</t>
  </si>
  <si>
    <t>Risco</t>
  </si>
  <si>
    <t>Custo</t>
  </si>
  <si>
    <t>Diferenciação</t>
  </si>
  <si>
    <t>Máx..por.cluster</t>
  </si>
  <si>
    <t>20%</t>
  </si>
  <si>
    <t>25%</t>
  </si>
  <si>
    <t>10%</t>
  </si>
  <si>
    <t>Ranking</t>
  </si>
  <si>
    <t>Ranking no cluster</t>
  </si>
  <si>
    <t>Nota final</t>
  </si>
  <si>
    <t>Quartil</t>
  </si>
  <si>
    <t>Classificação</t>
  </si>
  <si>
    <t>Shortlist</t>
  </si>
  <si>
    <t>Status da triagem</t>
  </si>
  <si>
    <t>Red flags</t>
  </si>
  <si>
    <t>Nota retorno</t>
  </si>
  <si>
    <t>Quartil retorno</t>
  </si>
  <si>
    <t>Nota consistência</t>
  </si>
  <si>
    <t>Quartil consistência</t>
  </si>
  <si>
    <t>Nota risco</t>
  </si>
  <si>
    <t>Quartil risco</t>
  </si>
  <si>
    <t>Nota custo</t>
  </si>
  <si>
    <t>Quartil custo</t>
  </si>
  <si>
    <t>Nota diferenciação</t>
  </si>
  <si>
    <t>Quartil diferenciação</t>
  </si>
  <si>
    <t>Nota taxa</t>
  </si>
  <si>
    <t>Nota eficiência</t>
  </si>
  <si>
    <t>Eficiência do custo</t>
  </si>
  <si>
    <t>Q1 - Destaque</t>
  </si>
  <si>
    <t>SIM</t>
  </si>
  <si>
    <t>NÃO</t>
  </si>
  <si>
    <t>Aprovado, fora do limite por cluster</t>
  </si>
  <si>
    <t>Q2 - Aprovado</t>
  </si>
  <si>
    <t>Reprovado por red flag</t>
  </si>
  <si>
    <t>Cauda entre os 10% piores</t>
  </si>
  <si>
    <t>Q3 - Observação</t>
  </si>
  <si>
    <t>Drawdown entre os 10% piores</t>
  </si>
  <si>
    <t>Q4 - Descartado</t>
  </si>
  <si>
    <t>Excesso anualizado não positivo; Menos de 50% das janelas de 36m acima do CDI</t>
  </si>
  <si>
    <t>Drawdown entre os 10% piores; Cauda entre os 10% piores</t>
  </si>
  <si>
    <t>Excesso anualizado não positivo; Drawdown entre os 10% piores; Cauda entre os 10% piores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</si>
</sst>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FFFFFF"/>
      <name val="Calibri"/>
      <family val="2"/>
    </font>
    <font>
      <b/>
      <sz val="10"/>
      <color rgb="FF1F1F1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 wrapText="1"/>
    </xf>
    <xf numFmtId="10" fontId="1" fillId="0" borderId="0" xfId="0" applyNumberFormat="1" applyFont="1" applyAlignment="1">
      <alignment vertical="top" wrapText="1"/>
    </xf>
    <xf numFmtId="14" fontId="1" fillId="0" borderId="0" xfId="0" applyNumberFormat="1" applyFont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3" fillId="3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AZ47" totalsRowShown="0">
  <autoFilter ref="A1:AZ47" xr:uid="{00000000-0009-0000-0100-000003000000}"/>
  <tableColumns count="52">
    <tableColumn id="1" xr3:uid="{00000000-0010-0000-0000-000001000000}" name="Fundo"/>
    <tableColumn id="2" xr3:uid="{00000000-0010-0000-0000-000002000000}" name="Nome oficial"/>
    <tableColumn id="3" xr3:uid="{00000000-0010-0000-0000-000003000000}" name="Nome Quantum"/>
    <tableColumn id="4" xr3:uid="{00000000-0010-0000-0000-000004000000}" name="Taxa de administração a.a."/>
    <tableColumn id="5" xr3:uid="{00000000-0010-0000-0000-000005000000}" name="Revisar de-para"/>
    <tableColumn id="6" xr3:uid="{00000000-0010-0000-0000-000006000000}" name="Série atualizada"/>
    <tableColumn id="7" xr3:uid="{00000000-0010-0000-0000-000007000000}" name="Elegível Etapa 2"/>
    <tableColumn id="8" xr3:uid="{00000000-0010-0000-0000-000008000000}" name="Motivo inelegibilidade Etapa 2"/>
    <tableColumn id="9" xr3:uid="{00000000-0010-0000-0000-000009000000}" name="Elegível ranking"/>
    <tableColumn id="10" xr3:uid="{00000000-0010-0000-0000-00000A000000}" name="Motivo inelegibilidade ranking"/>
    <tableColumn id="11" xr3:uid="{00000000-0010-0000-0000-00000B000000}" name="Início série diária"/>
    <tableColumn id="12" xr3:uid="{00000000-0010-0000-0000-00000C000000}" name="Fim série diária"/>
    <tableColumn id="13" xr3:uid="{00000000-0010-0000-0000-00000D000000}" name="Retornos diários"/>
    <tableColumn id="14" xr3:uid="{00000000-0010-0000-0000-00000E000000}" name="Início série mensal"/>
    <tableColumn id="15" xr3:uid="{00000000-0010-0000-0000-00000F000000}" name="Fim série mensal"/>
    <tableColumn id="16" xr3:uid="{00000000-0010-0000-0000-000010000000}" name="Meses completos"/>
    <tableColumn id="17" xr3:uid="{00000000-0010-0000-0000-000011000000}" name="Cluster"/>
    <tableColumn id="18" xr3:uid="{00000000-0010-0000-0000-000012000000}" name="Excesso CDI a.a."/>
    <tableColumn id="19" xr3:uid="{00000000-0010-0000-0000-000013000000}" name="Hit rate mensal"/>
    <tableColumn id="20" xr3:uid="{00000000-0010-0000-0000-000014000000}" name="Hit rate 6 meses"/>
    <tableColumn id="21" xr3:uid="{00000000-0010-0000-0000-000015000000}" name="Janelas completas de 36 meses"/>
    <tableColumn id="22" xr3:uid="{00000000-0010-0000-0000-000016000000}" name="Hit rate 36 meses"/>
    <tableColumn id="23" xr3:uid="{00000000-0010-0000-0000-000017000000}" name="Volatilidade do excesso a.a."/>
    <tableColumn id="24" xr3:uid="{00000000-0010-0000-0000-000018000000}" name="Pior mês relativo ao CDI"/>
    <tableColumn id="25" xr3:uid="{00000000-0010-0000-0000-000019000000}" name="Média dos 3 piores meses"/>
    <tableColumn id="26" xr3:uid="{00000000-0010-0000-0000-00001A000000}" name="Autocorrelação lag 1"/>
    <tableColumn id="27" xr3:uid="{00000000-0010-0000-0000-00001B000000}" name="Drawdown máximo do excesso"/>
    <tableColumn id="28" xr3:uid="{00000000-0010-0000-0000-00001C000000}" name="Meses para recuperar"/>
    <tableColumn id="29" xr3:uid="{00000000-0010-0000-0000-00001D000000}" name="Correlação média com pares"/>
    <tableColumn id="30" xr3:uid="{00000000-0010-0000-0000-00001E000000}" name="Correlação mediana com pares"/>
    <tableColumn id="31" xr3:uid="{00000000-0010-0000-0000-00001F000000}" name="Correlação máxima com par"/>
    <tableColumn id="32" xr3:uid="{00000000-0010-0000-0000-000020000000}" name="Fundo mais correlacionado"/>
    <tableColumn id="33" xr3:uid="{00000000-0010-0000-0000-000021000000}" name="Meses em comum com par mais próximo"/>
    <tableColumn id="34" xr3:uid="{00000000-0010-0000-0000-000022000000}" name="Benchmark de menor tracking error"/>
    <tableColumn id="35" xr3:uid="{00000000-0010-0000-0000-000023000000}" name="Menor tracking error a.a."/>
    <tableColumn id="36" xr3:uid="{00000000-0010-0000-0000-000024000000}" name="Benchmark de maior correlação"/>
    <tableColumn id="37" xr3:uid="{00000000-0010-0000-0000-000025000000}" name="Maior correlação com benchmark"/>
    <tableColumn id="38" xr3:uid="{00000000-0010-0000-0000-000026000000}" name="Meses IDA LIQ-DI"/>
    <tableColumn id="39" xr3:uid="{00000000-0010-0000-0000-000027000000}" name="Correlação IDA LIQ-DI"/>
    <tableColumn id="40" xr3:uid="{00000000-0010-0000-0000-000028000000}" name="Tracking error IDA LIQ-DI a.a."/>
    <tableColumn id="41" xr3:uid="{00000000-0010-0000-0000-000029000000}" name="Excesso vs. IDA LIQ-DI a.a."/>
    <tableColumn id="42" xr3:uid="{00000000-0010-0000-0000-00002A000000}" name="Hit rate mensal vs. IDA LIQ-DI"/>
    <tableColumn id="43" xr3:uid="{00000000-0010-0000-0000-00002B000000}" name="Meses IDA-DI"/>
    <tableColumn id="44" xr3:uid="{00000000-0010-0000-0000-00002C000000}" name="Correlação IDA-DI"/>
    <tableColumn id="45" xr3:uid="{00000000-0010-0000-0000-00002D000000}" name="Tracking error IDA-DI a.a."/>
    <tableColumn id="46" xr3:uid="{00000000-0010-0000-0000-00002E000000}" name="Excesso vs. IDA-DI a.a."/>
    <tableColumn id="47" xr3:uid="{00000000-0010-0000-0000-00002F000000}" name="Hit rate mensal vs. IDA-DI"/>
    <tableColumn id="48" xr3:uid="{00000000-0010-0000-0000-000030000000}" name="Meses IRF-M 1"/>
    <tableColumn id="49" xr3:uid="{00000000-0010-0000-0000-000031000000}" name="Correlação IRF-M 1"/>
    <tableColumn id="50" xr3:uid="{00000000-0010-0000-0000-000032000000}" name="Tracking error IRF-M 1 a.a."/>
    <tableColumn id="51" xr3:uid="{00000000-0010-0000-0000-000033000000}" name="Excesso vs. IRF-M 1 a.a."/>
    <tableColumn id="52" xr3:uid="{00000000-0010-0000-0000-000034000000}" name="Hit rate mensal vs. IRF-M 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5:AK51" totalsRowShown="0">
  <autoFilter ref="A5:AK51" xr:uid="{00000000-0009-0000-0100-000004000000}"/>
  <sortState xmlns:xlrd2="http://schemas.microsoft.com/office/spreadsheetml/2017/richdata2" ref="A6:AK51">
    <sortCondition descending="1" ref="E5:E51"/>
  </sortState>
  <tableColumns count="37">
    <tableColumn id="1" xr3:uid="{00000000-0010-0000-0100-000001000000}" name="Ranking"/>
    <tableColumn id="2" xr3:uid="{00000000-0010-0000-0100-000002000000}" name="Fundo"/>
    <tableColumn id="3" xr3:uid="{00000000-0010-0000-0100-000003000000}" name="Cluster"/>
    <tableColumn id="4" xr3:uid="{00000000-0010-0000-0100-000004000000}" name="Ranking no cluster"/>
    <tableColumn id="5" xr3:uid="{00000000-0010-0000-0100-000005000000}" name="Nota final"/>
    <tableColumn id="6" xr3:uid="{00000000-0010-0000-0100-000006000000}" name="Quartil"/>
    <tableColumn id="7" xr3:uid="{00000000-0010-0000-0100-000007000000}" name="Classificação"/>
    <tableColumn id="8" xr3:uid="{00000000-0010-0000-0100-000008000000}" name="Shortlist"/>
    <tableColumn id="9" xr3:uid="{00000000-0010-0000-0100-000009000000}" name="Status da triagem"/>
    <tableColumn id="10" xr3:uid="{00000000-0010-0000-0100-00000A000000}" name="Red flags"/>
    <tableColumn id="11" xr3:uid="{00000000-0010-0000-0100-00000B000000}" name="Nota retorno"/>
    <tableColumn id="12" xr3:uid="{00000000-0010-0000-0100-00000C000000}" name="Quartil retorno"/>
    <tableColumn id="13" xr3:uid="{00000000-0010-0000-0100-00000D000000}" name="Nota consistência"/>
    <tableColumn id="14" xr3:uid="{00000000-0010-0000-0100-00000E000000}" name="Quartil consistência"/>
    <tableColumn id="15" xr3:uid="{00000000-0010-0000-0100-00000F000000}" name="Nota risco"/>
    <tableColumn id="16" xr3:uid="{00000000-0010-0000-0100-000010000000}" name="Quartil risco"/>
    <tableColumn id="17" xr3:uid="{00000000-0010-0000-0100-000011000000}" name="Nota custo"/>
    <tableColumn id="18" xr3:uid="{00000000-0010-0000-0100-000012000000}" name="Quartil custo"/>
    <tableColumn id="19" xr3:uid="{00000000-0010-0000-0100-000013000000}" name="Nota diferenciação"/>
    <tableColumn id="20" xr3:uid="{00000000-0010-0000-0100-000014000000}" name="Quartil diferenciação"/>
    <tableColumn id="21" xr3:uid="{00000000-0010-0000-0100-000015000000}" name="Nota taxa"/>
    <tableColumn id="22" xr3:uid="{00000000-0010-0000-0100-000016000000}" name="Nota eficiência"/>
    <tableColumn id="23" xr3:uid="{00000000-0010-0000-0100-000017000000}" name="Excesso CDI a.a."/>
    <tableColumn id="24" xr3:uid="{00000000-0010-0000-0100-000018000000}" name="Hit rate mensal"/>
    <tableColumn id="25" xr3:uid="{00000000-0010-0000-0100-000019000000}" name="Hit rate 6 meses"/>
    <tableColumn id="26" xr3:uid="{00000000-0010-0000-0100-00001A000000}" name="Janelas completas de 36 meses"/>
    <tableColumn id="27" xr3:uid="{00000000-0010-0000-0100-00001B000000}" name="Hit rate 36 meses"/>
    <tableColumn id="28" xr3:uid="{00000000-0010-0000-0100-00001C000000}" name="Drawdown máximo do excesso"/>
    <tableColumn id="29" xr3:uid="{00000000-0010-0000-0100-00001D000000}" name="Média dos 3 piores meses"/>
    <tableColumn id="30" xr3:uid="{00000000-0010-0000-0100-00001E000000}" name="Volatilidade do excesso a.a."/>
    <tableColumn id="31" xr3:uid="{00000000-0010-0000-0100-00001F000000}" name="Taxa de administração a.a."/>
    <tableColumn id="32" xr3:uid="{00000000-0010-0000-0100-000020000000}" name="Eficiência do custo"/>
    <tableColumn id="33" xr3:uid="{00000000-0010-0000-0100-000021000000}" name="Correlação média com pares"/>
    <tableColumn id="34" xr3:uid="{00000000-0010-0000-0100-000022000000}" name="Correlação máxima com par"/>
    <tableColumn id="35" xr3:uid="{00000000-0010-0000-0100-000023000000}" name="Fundo mais correlacionado"/>
    <tableColumn id="36" xr3:uid="{00000000-0010-0000-0100-000024000000}" name="Benchmark de menor tracking error"/>
    <tableColumn id="37" xr3:uid="{00000000-0010-0000-0100-000025000000}" name="Menor tracking error a.a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3" sqref="C3"/>
    </sheetView>
  </sheetViews>
  <sheetFormatPr defaultColWidth="11.5546875" defaultRowHeight="14.4" x14ac:dyDescent="0.3"/>
  <cols>
    <col min="1" max="1" width="30.6640625" customWidth="1"/>
    <col min="2" max="3" width="45.6640625" customWidth="1"/>
    <col min="4" max="7" width="14.6640625" customWidth="1"/>
    <col min="8" max="8" width="28.6640625" customWidth="1"/>
    <col min="9" max="9" width="14.6640625" customWidth="1"/>
    <col min="10" max="10" width="28.6640625" customWidth="1"/>
    <col min="11" max="31" width="14.6640625" customWidth="1"/>
    <col min="32" max="32" width="28.6640625" customWidth="1"/>
    <col min="33" max="33" width="14.6640625" customWidth="1"/>
    <col min="34" max="34" width="28.6640625" customWidth="1"/>
    <col min="35" max="35" width="14.6640625" customWidth="1"/>
    <col min="36" max="36" width="28.6640625" customWidth="1"/>
    <col min="37" max="52" width="14.6640625" customWidth="1"/>
  </cols>
  <sheetData>
    <row r="1" spans="1:52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ht="43.2" x14ac:dyDescent="0.3">
      <c r="A2" s="1" t="s">
        <v>52</v>
      </c>
      <c r="B2" s="1" t="s">
        <v>53</v>
      </c>
      <c r="C2" s="1" t="s">
        <v>54</v>
      </c>
      <c r="D2" s="2">
        <v>8.9999999999999993E-3</v>
      </c>
      <c r="E2" s="1" t="b">
        <v>0</v>
      </c>
      <c r="F2" s="1" t="b">
        <v>1</v>
      </c>
      <c r="G2" s="1" t="b">
        <v>1</v>
      </c>
      <c r="H2" s="1"/>
      <c r="I2" s="1" t="b">
        <v>1</v>
      </c>
      <c r="J2" s="1"/>
      <c r="K2" s="3">
        <v>43829</v>
      </c>
      <c r="L2" s="3">
        <v>46203</v>
      </c>
      <c r="M2" s="4">
        <v>1631</v>
      </c>
      <c r="N2" s="3">
        <v>43831</v>
      </c>
      <c r="O2" s="3">
        <v>46174</v>
      </c>
      <c r="P2" s="4">
        <v>78</v>
      </c>
      <c r="Q2" s="4">
        <v>1</v>
      </c>
      <c r="R2" s="2">
        <v>2.0897143351777302E-2</v>
      </c>
      <c r="S2" s="2">
        <v>0.80769230769230804</v>
      </c>
      <c r="T2" s="2">
        <v>0.91780821917808197</v>
      </c>
      <c r="U2" s="4">
        <v>43</v>
      </c>
      <c r="V2" s="2">
        <v>1</v>
      </c>
      <c r="W2" s="2">
        <v>1.5340387449162701E-2</v>
      </c>
      <c r="X2" s="2">
        <v>-2.5602326891905901E-2</v>
      </c>
      <c r="Y2" s="2">
        <v>-1.0781139996754001E-2</v>
      </c>
      <c r="Z2" s="1">
        <v>6.6517559430057296E-3</v>
      </c>
      <c r="AA2" s="2">
        <v>-2.5602326891905901E-2</v>
      </c>
      <c r="AB2" s="4">
        <v>3</v>
      </c>
      <c r="AC2" s="1">
        <v>0.570013379400933</v>
      </c>
      <c r="AD2" s="1">
        <v>0.56847632090895295</v>
      </c>
      <c r="AE2" s="1">
        <v>0.89125816690189996</v>
      </c>
      <c r="AF2" s="1" t="s">
        <v>55</v>
      </c>
      <c r="AG2" s="4">
        <v>38</v>
      </c>
      <c r="AH2" s="1" t="s">
        <v>56</v>
      </c>
      <c r="AI2" s="2">
        <v>1.5710819521473102E-2</v>
      </c>
      <c r="AJ2" s="1" t="s">
        <v>56</v>
      </c>
      <c r="AK2" s="1">
        <v>0.80674544652277502</v>
      </c>
      <c r="AL2" s="4">
        <v>78</v>
      </c>
      <c r="AM2" s="1">
        <v>0.61243872826030199</v>
      </c>
      <c r="AN2" s="2">
        <v>4.0016695942417101E-2</v>
      </c>
      <c r="AO2" s="2">
        <v>2.7690744309516499E-2</v>
      </c>
      <c r="AP2" s="2">
        <v>0.47435897435897401</v>
      </c>
      <c r="AQ2" s="4">
        <v>78</v>
      </c>
      <c r="AR2" s="1">
        <v>0.80674544652277502</v>
      </c>
      <c r="AS2" s="2">
        <v>1.5710819521473102E-2</v>
      </c>
      <c r="AT2" s="2">
        <v>9.6381002205148097E-3</v>
      </c>
      <c r="AU2" s="2">
        <v>0.44871794871794901</v>
      </c>
      <c r="AV2" s="4">
        <v>78</v>
      </c>
      <c r="AW2" s="1">
        <v>-6.2398395971013099E-2</v>
      </c>
      <c r="AX2" s="2">
        <v>1.6540024947767101E-2</v>
      </c>
      <c r="AY2" s="2">
        <v>2.34331267825416E-2</v>
      </c>
      <c r="AZ2" s="2">
        <v>0.82051282051282004</v>
      </c>
    </row>
    <row r="3" spans="1:52" x14ac:dyDescent="0.3">
      <c r="A3" s="1" t="s">
        <v>57</v>
      </c>
      <c r="B3" s="1" t="s">
        <v>58</v>
      </c>
      <c r="C3" s="1" t="s">
        <v>59</v>
      </c>
      <c r="D3" s="2">
        <v>6.0000000000000001E-3</v>
      </c>
      <c r="E3" s="1" t="b">
        <v>0</v>
      </c>
      <c r="F3" s="1" t="b">
        <v>1</v>
      </c>
      <c r="G3" s="1" t="b">
        <v>1</v>
      </c>
      <c r="H3" s="1"/>
      <c r="I3" s="1" t="b">
        <v>1</v>
      </c>
      <c r="J3" s="1"/>
      <c r="K3" s="3">
        <v>43972</v>
      </c>
      <c r="L3" s="3">
        <v>46203</v>
      </c>
      <c r="M3" s="4">
        <v>1534</v>
      </c>
      <c r="N3" s="3">
        <v>43983</v>
      </c>
      <c r="O3" s="3">
        <v>46174</v>
      </c>
      <c r="P3" s="4">
        <v>73</v>
      </c>
      <c r="Q3" s="4">
        <v>1</v>
      </c>
      <c r="R3" s="2">
        <v>2.00677911299596E-2</v>
      </c>
      <c r="S3" s="2">
        <v>0.83561643835616395</v>
      </c>
      <c r="T3" s="2">
        <v>0.86764705882352899</v>
      </c>
      <c r="U3" s="4">
        <v>38</v>
      </c>
      <c r="V3" s="2">
        <v>1</v>
      </c>
      <c r="W3" s="2">
        <v>9.7832724483332498E-3</v>
      </c>
      <c r="X3" s="2">
        <v>-5.2239827677471604E-3</v>
      </c>
      <c r="Y3" s="2">
        <v>-4.5399985244027096E-3</v>
      </c>
      <c r="Z3" s="1">
        <v>0.456158781226086</v>
      </c>
      <c r="AA3" s="2">
        <v>-7.0857693052897002E-3</v>
      </c>
      <c r="AB3" s="4">
        <v>7</v>
      </c>
      <c r="AC3" s="1">
        <v>0.53624963944306903</v>
      </c>
      <c r="AD3" s="1">
        <v>0.54875470981241903</v>
      </c>
      <c r="AE3" s="1">
        <v>0.76425272947286205</v>
      </c>
      <c r="AF3" s="1" t="s">
        <v>60</v>
      </c>
      <c r="AG3" s="4">
        <v>73</v>
      </c>
      <c r="AH3" s="1" t="s">
        <v>56</v>
      </c>
      <c r="AI3" s="2">
        <v>1.02677874506031E-2</v>
      </c>
      <c r="AJ3" s="1" t="s">
        <v>56</v>
      </c>
      <c r="AK3" s="1">
        <v>0.65054084755039399</v>
      </c>
      <c r="AL3" s="4">
        <v>73</v>
      </c>
      <c r="AM3" s="1">
        <v>0.51024676967997495</v>
      </c>
      <c r="AN3" s="2">
        <v>3.6674956984630601E-2</v>
      </c>
      <c r="AO3" s="2">
        <v>1.9617287832201399E-2</v>
      </c>
      <c r="AP3" s="2">
        <v>0.41095890410958902</v>
      </c>
      <c r="AQ3" s="4">
        <v>73</v>
      </c>
      <c r="AR3" s="1">
        <v>0.65054084755039399</v>
      </c>
      <c r="AS3" s="2">
        <v>1.02677874506031E-2</v>
      </c>
      <c r="AT3" s="2">
        <v>7.0306012332577205E-4</v>
      </c>
      <c r="AU3" s="2">
        <v>0.43835616438356201</v>
      </c>
      <c r="AV3" s="4">
        <v>73</v>
      </c>
      <c r="AW3" s="1">
        <v>0.129002264606348</v>
      </c>
      <c r="AX3" s="2">
        <v>1.04993657788118E-2</v>
      </c>
      <c r="AY3" s="2">
        <v>2.4034769577869299E-2</v>
      </c>
      <c r="AZ3" s="2">
        <v>0.75342465753424703</v>
      </c>
    </row>
    <row r="4" spans="1:52" ht="28.8" x14ac:dyDescent="0.3">
      <c r="A4" s="1" t="s">
        <v>61</v>
      </c>
      <c r="B4" s="1" t="s">
        <v>62</v>
      </c>
      <c r="C4" s="1" t="s">
        <v>63</v>
      </c>
      <c r="D4" s="2">
        <v>6.0000000000000001E-3</v>
      </c>
      <c r="E4" s="1" t="b">
        <v>0</v>
      </c>
      <c r="F4" s="1" t="b">
        <v>1</v>
      </c>
      <c r="G4" s="1" t="b">
        <v>1</v>
      </c>
      <c r="H4" s="1"/>
      <c r="I4" s="1" t="b">
        <v>1</v>
      </c>
      <c r="J4" s="1"/>
      <c r="K4" s="3">
        <v>44173</v>
      </c>
      <c r="L4" s="3">
        <v>46203</v>
      </c>
      <c r="M4" s="4">
        <v>1395</v>
      </c>
      <c r="N4" s="3">
        <v>44197</v>
      </c>
      <c r="O4" s="3">
        <v>46174</v>
      </c>
      <c r="P4" s="4">
        <v>66</v>
      </c>
      <c r="Q4" s="4">
        <v>1</v>
      </c>
      <c r="R4" s="2">
        <v>1.53959357885796E-2</v>
      </c>
      <c r="S4" s="2">
        <v>0.83333333333333304</v>
      </c>
      <c r="T4" s="2">
        <v>0.83606557377049195</v>
      </c>
      <c r="U4" s="4">
        <v>31</v>
      </c>
      <c r="V4" s="2">
        <v>1</v>
      </c>
      <c r="W4" s="2">
        <v>6.8309428425686698E-3</v>
      </c>
      <c r="X4" s="2">
        <v>-5.1023286921644297E-3</v>
      </c>
      <c r="Y4" s="2">
        <v>-3.8431768179798499E-3</v>
      </c>
      <c r="Z4" s="1">
        <v>0.40139497290151699</v>
      </c>
      <c r="AA4" s="2">
        <v>-9.1737781686624907E-3</v>
      </c>
      <c r="AB4" s="4">
        <v>4</v>
      </c>
      <c r="AC4" s="1">
        <v>0.61050901690655501</v>
      </c>
      <c r="AD4" s="1">
        <v>0.61551023679080996</v>
      </c>
      <c r="AE4" s="1">
        <v>0.88234277146109796</v>
      </c>
      <c r="AF4" s="1" t="s">
        <v>64</v>
      </c>
      <c r="AG4" s="4">
        <v>66</v>
      </c>
      <c r="AH4" s="1" t="s">
        <v>56</v>
      </c>
      <c r="AI4" s="2">
        <v>9.5235826930027308E-3</v>
      </c>
      <c r="AJ4" s="1" t="s">
        <v>56</v>
      </c>
      <c r="AK4" s="1">
        <v>0.67389792389887304</v>
      </c>
      <c r="AL4" s="4">
        <v>66</v>
      </c>
      <c r="AM4" s="1">
        <v>0.41443769939883801</v>
      </c>
      <c r="AN4" s="2">
        <v>3.9357797761982699E-2</v>
      </c>
      <c r="AO4" s="2">
        <v>2.3091957045341199E-2</v>
      </c>
      <c r="AP4" s="2">
        <v>0.39393939393939398</v>
      </c>
      <c r="AQ4" s="4">
        <v>66</v>
      </c>
      <c r="AR4" s="1">
        <v>0.67389792389887304</v>
      </c>
      <c r="AS4" s="2">
        <v>9.5235826930027308E-3</v>
      </c>
      <c r="AT4" s="2">
        <v>1.06645974829722E-3</v>
      </c>
      <c r="AU4" s="2">
        <v>0.439393939393939</v>
      </c>
      <c r="AV4" s="4">
        <v>66</v>
      </c>
      <c r="AW4" s="1">
        <v>-0.41696899284056099</v>
      </c>
      <c r="AX4" s="2">
        <v>1.03828060340988E-2</v>
      </c>
      <c r="AY4" s="2">
        <v>2.0303919554054001E-2</v>
      </c>
      <c r="AZ4" s="2">
        <v>0.80303030303030298</v>
      </c>
    </row>
    <row r="5" spans="1:52" x14ac:dyDescent="0.3">
      <c r="A5" s="1" t="s">
        <v>65</v>
      </c>
      <c r="B5" s="1" t="s">
        <v>66</v>
      </c>
      <c r="C5" s="1" t="s">
        <v>67</v>
      </c>
      <c r="D5" s="2">
        <v>7.4999999999999997E-3</v>
      </c>
      <c r="E5" s="1" t="b">
        <v>0</v>
      </c>
      <c r="F5" s="1" t="b">
        <v>1</v>
      </c>
      <c r="G5" s="1" t="b">
        <v>1</v>
      </c>
      <c r="H5" s="1"/>
      <c r="I5" s="1" t="b">
        <v>1</v>
      </c>
      <c r="J5" s="1"/>
      <c r="K5" s="3">
        <v>41024</v>
      </c>
      <c r="L5" s="3">
        <v>46203</v>
      </c>
      <c r="M5" s="4">
        <v>3560</v>
      </c>
      <c r="N5" s="3">
        <v>41030</v>
      </c>
      <c r="O5" s="3">
        <v>46174</v>
      </c>
      <c r="P5" s="4">
        <v>170</v>
      </c>
      <c r="Q5" s="4">
        <v>1</v>
      </c>
      <c r="R5" s="2">
        <v>1.46020932624509E-2</v>
      </c>
      <c r="S5" s="2">
        <v>0.82352941176470595</v>
      </c>
      <c r="T5" s="2">
        <v>0.83636363636363598</v>
      </c>
      <c r="U5" s="4">
        <v>135</v>
      </c>
      <c r="V5" s="2">
        <v>0.97777777777777797</v>
      </c>
      <c r="W5" s="2">
        <v>1.76708724885297E-2</v>
      </c>
      <c r="X5" s="2">
        <v>-3.5726122572943199E-2</v>
      </c>
      <c r="Y5" s="2">
        <v>-2.8368086009277E-2</v>
      </c>
      <c r="Z5" s="1">
        <v>0.30149877106975798</v>
      </c>
      <c r="AA5" s="2">
        <v>-4.8843098617436999E-2</v>
      </c>
      <c r="AB5" s="4">
        <v>8</v>
      </c>
      <c r="AC5" s="1">
        <v>0.69951045242834398</v>
      </c>
      <c r="AD5" s="1">
        <v>0.71120402960703699</v>
      </c>
      <c r="AE5" s="1">
        <v>0.91306156506546998</v>
      </c>
      <c r="AF5" s="1" t="s">
        <v>68</v>
      </c>
      <c r="AG5" s="4">
        <v>79</v>
      </c>
      <c r="AH5" s="1" t="s">
        <v>56</v>
      </c>
      <c r="AI5" s="2">
        <v>1.5657323218568699E-2</v>
      </c>
      <c r="AJ5" s="1" t="s">
        <v>56</v>
      </c>
      <c r="AK5" s="1">
        <v>0.59616980978114098</v>
      </c>
      <c r="AL5" s="4">
        <v>102</v>
      </c>
      <c r="AM5" s="1">
        <v>0.57900030351774301</v>
      </c>
      <c r="AN5" s="2">
        <v>3.4666510154544201E-2</v>
      </c>
      <c r="AO5" s="2">
        <v>1.48018613517344E-2</v>
      </c>
      <c r="AP5" s="2">
        <v>0.43137254901960798</v>
      </c>
      <c r="AQ5" s="4">
        <v>170</v>
      </c>
      <c r="AR5" s="1">
        <v>0.59616980978114098</v>
      </c>
      <c r="AS5" s="2">
        <v>1.5657323218568699E-2</v>
      </c>
      <c r="AT5" s="2">
        <v>4.3762976420718101E-3</v>
      </c>
      <c r="AU5" s="2">
        <v>0.5</v>
      </c>
      <c r="AV5" s="4">
        <v>170</v>
      </c>
      <c r="AW5" s="1">
        <v>-1.7719761442393399E-4</v>
      </c>
      <c r="AX5" s="2">
        <v>1.8360294914302699E-2</v>
      </c>
      <c r="AY5" s="2">
        <v>1.4063568986841799E-2</v>
      </c>
      <c r="AZ5" s="2">
        <v>0.747058823529412</v>
      </c>
    </row>
    <row r="6" spans="1:52" ht="28.8" x14ac:dyDescent="0.3">
      <c r="A6" s="1" t="s">
        <v>69</v>
      </c>
      <c r="B6" s="1" t="s">
        <v>70</v>
      </c>
      <c r="C6" s="1" t="s">
        <v>71</v>
      </c>
      <c r="D6" s="2">
        <v>7.0000000000000001E-3</v>
      </c>
      <c r="E6" s="1" t="b">
        <v>0</v>
      </c>
      <c r="F6" s="1" t="b">
        <v>1</v>
      </c>
      <c r="G6" s="1" t="b">
        <v>1</v>
      </c>
      <c r="H6" s="1"/>
      <c r="I6" s="1" t="b">
        <v>1</v>
      </c>
      <c r="J6" s="1"/>
      <c r="K6" s="3">
        <v>44862</v>
      </c>
      <c r="L6" s="3">
        <v>46203</v>
      </c>
      <c r="M6" s="4">
        <v>920</v>
      </c>
      <c r="N6" s="3">
        <v>44866</v>
      </c>
      <c r="O6" s="3">
        <v>46174</v>
      </c>
      <c r="P6" s="4">
        <v>44</v>
      </c>
      <c r="Q6" s="4">
        <v>1</v>
      </c>
      <c r="R6" s="2">
        <v>1.3995034858907299E-2</v>
      </c>
      <c r="S6" s="2">
        <v>0.81818181818181801</v>
      </c>
      <c r="T6" s="2">
        <v>0.87179487179487203</v>
      </c>
      <c r="U6" s="4">
        <v>9</v>
      </c>
      <c r="V6" s="2">
        <v>1</v>
      </c>
      <c r="W6" s="2">
        <v>7.38268885026755E-3</v>
      </c>
      <c r="X6" s="2">
        <v>-4.1376062025606499E-3</v>
      </c>
      <c r="Y6" s="2">
        <v>-4.0648500005735499E-3</v>
      </c>
      <c r="Z6" s="1">
        <v>0.47060948034568001</v>
      </c>
      <c r="AA6" s="2">
        <v>-1.23984273919064E-2</v>
      </c>
      <c r="AB6" s="4"/>
      <c r="AC6" s="1">
        <v>0.56555050017216901</v>
      </c>
      <c r="AD6" s="1">
        <v>0.56911242732254197</v>
      </c>
      <c r="AE6" s="1">
        <v>0.86658347284111503</v>
      </c>
      <c r="AF6" s="1" t="s">
        <v>72</v>
      </c>
      <c r="AG6" s="4">
        <v>44</v>
      </c>
      <c r="AH6" s="1" t="s">
        <v>73</v>
      </c>
      <c r="AI6" s="2">
        <v>7.4493067478068097E-3</v>
      </c>
      <c r="AJ6" s="1" t="s">
        <v>56</v>
      </c>
      <c r="AK6" s="1">
        <v>0.61054273231513301</v>
      </c>
      <c r="AL6" s="4">
        <v>44</v>
      </c>
      <c r="AM6" s="1">
        <v>0.357705502853988</v>
      </c>
      <c r="AN6" s="2">
        <v>4.8244507438176001E-2</v>
      </c>
      <c r="AO6" s="2">
        <v>3.99344271606707E-2</v>
      </c>
      <c r="AP6" s="2">
        <v>0.38636363636363602</v>
      </c>
      <c r="AQ6" s="4">
        <v>44</v>
      </c>
      <c r="AR6" s="1">
        <v>0.61054273231513301</v>
      </c>
      <c r="AS6" s="2">
        <v>1.21641705614472E-2</v>
      </c>
      <c r="AT6" s="2">
        <v>5.4056405943041499E-3</v>
      </c>
      <c r="AU6" s="2">
        <v>0.45454545454545497</v>
      </c>
      <c r="AV6" s="4">
        <v>44</v>
      </c>
      <c r="AW6" s="1">
        <v>0.22203752293339801</v>
      </c>
      <c r="AX6" s="2">
        <v>7.4493067478068097E-3</v>
      </c>
      <c r="AY6" s="2">
        <v>1.66061861410556E-2</v>
      </c>
      <c r="AZ6" s="2">
        <v>0.79545454545454497</v>
      </c>
    </row>
    <row r="7" spans="1:52" ht="28.8" x14ac:dyDescent="0.3">
      <c r="A7" s="1" t="s">
        <v>74</v>
      </c>
      <c r="B7" s="1" t="s">
        <v>75</v>
      </c>
      <c r="C7" s="1" t="s">
        <v>76</v>
      </c>
      <c r="D7" s="2">
        <v>7.6E-3</v>
      </c>
      <c r="E7" s="1" t="b">
        <v>0</v>
      </c>
      <c r="F7" s="1" t="b">
        <v>1</v>
      </c>
      <c r="G7" s="1" t="b">
        <v>1</v>
      </c>
      <c r="H7" s="1"/>
      <c r="I7" s="1" t="b">
        <v>1</v>
      </c>
      <c r="J7" s="1"/>
      <c r="K7" s="3">
        <v>44046</v>
      </c>
      <c r="L7" s="3">
        <v>46203</v>
      </c>
      <c r="M7" s="4">
        <v>1483</v>
      </c>
      <c r="N7" s="3">
        <v>44044</v>
      </c>
      <c r="O7" s="3">
        <v>46174</v>
      </c>
      <c r="P7" s="4">
        <v>71</v>
      </c>
      <c r="Q7" s="4">
        <v>3</v>
      </c>
      <c r="R7" s="2">
        <v>1.3137858960022199E-2</v>
      </c>
      <c r="S7" s="2">
        <v>0.69014084507042295</v>
      </c>
      <c r="T7" s="2">
        <v>0.78787878787878796</v>
      </c>
      <c r="U7" s="4">
        <v>36</v>
      </c>
      <c r="V7" s="2">
        <v>1</v>
      </c>
      <c r="W7" s="2">
        <v>9.9406382728637905E-3</v>
      </c>
      <c r="X7" s="2">
        <v>-6.67417416501248E-3</v>
      </c>
      <c r="Y7" s="2">
        <v>-5.9642980539021603E-3</v>
      </c>
      <c r="Z7" s="1">
        <v>0.29098021538246999</v>
      </c>
      <c r="AA7" s="2">
        <v>-2.05824447977121E-2</v>
      </c>
      <c r="AB7" s="4">
        <v>15</v>
      </c>
      <c r="AC7" s="1">
        <v>0.459658064036292</v>
      </c>
      <c r="AD7" s="1">
        <v>0.47061905077541699</v>
      </c>
      <c r="AE7" s="1">
        <v>0.57416152926081299</v>
      </c>
      <c r="AF7" s="1" t="s">
        <v>77</v>
      </c>
      <c r="AG7" s="4">
        <v>71</v>
      </c>
      <c r="AH7" s="1" t="s">
        <v>56</v>
      </c>
      <c r="AI7" s="2">
        <v>1.10435903680758E-2</v>
      </c>
      <c r="AJ7" s="1" t="s">
        <v>56</v>
      </c>
      <c r="AK7" s="1">
        <v>0.53366798419517703</v>
      </c>
      <c r="AL7" s="4">
        <v>71</v>
      </c>
      <c r="AM7" s="1">
        <v>0.38633913345650001</v>
      </c>
      <c r="AN7" s="2">
        <v>3.7602752739845702E-2</v>
      </c>
      <c r="AO7" s="2">
        <v>1.7198321732184701E-2</v>
      </c>
      <c r="AP7" s="2">
        <v>0.43661971830985902</v>
      </c>
      <c r="AQ7" s="4">
        <v>71</v>
      </c>
      <c r="AR7" s="1">
        <v>0.53366798419517703</v>
      </c>
      <c r="AS7" s="2">
        <v>1.10435903680758E-2</v>
      </c>
      <c r="AT7" s="2">
        <v>-3.1714503617114001E-3</v>
      </c>
      <c r="AU7" s="2">
        <v>0.43661971830985902</v>
      </c>
      <c r="AV7" s="4">
        <v>71</v>
      </c>
      <c r="AW7" s="1">
        <v>-9.2048917914392993E-3</v>
      </c>
      <c r="AX7" s="2">
        <v>1.13154483797897E-2</v>
      </c>
      <c r="AY7" s="2">
        <v>1.7380175611654499E-2</v>
      </c>
      <c r="AZ7" s="2">
        <v>0.73239436619718301</v>
      </c>
    </row>
    <row r="8" spans="1:52" ht="28.8" x14ac:dyDescent="0.3">
      <c r="A8" s="1" t="s">
        <v>78</v>
      </c>
      <c r="B8" s="1" t="s">
        <v>79</v>
      </c>
      <c r="C8" s="1" t="s">
        <v>80</v>
      </c>
      <c r="D8" s="2">
        <v>1.04E-2</v>
      </c>
      <c r="E8" s="1" t="b">
        <v>0</v>
      </c>
      <c r="F8" s="1" t="b">
        <v>1</v>
      </c>
      <c r="G8" s="1" t="b">
        <v>1</v>
      </c>
      <c r="H8" s="1"/>
      <c r="I8" s="1" t="b">
        <v>1</v>
      </c>
      <c r="J8" s="1"/>
      <c r="K8" s="3">
        <v>44561</v>
      </c>
      <c r="L8" s="3">
        <v>46203</v>
      </c>
      <c r="M8" s="4">
        <v>1128</v>
      </c>
      <c r="N8" s="3">
        <v>44562</v>
      </c>
      <c r="O8" s="3">
        <v>46174</v>
      </c>
      <c r="P8" s="4">
        <v>54</v>
      </c>
      <c r="Q8" s="4">
        <v>1</v>
      </c>
      <c r="R8" s="2">
        <v>1.2677856477199699E-2</v>
      </c>
      <c r="S8" s="2">
        <v>0.81481481481481499</v>
      </c>
      <c r="T8" s="2">
        <v>0.91836734693877597</v>
      </c>
      <c r="U8" s="4">
        <v>19</v>
      </c>
      <c r="V8" s="2">
        <v>1</v>
      </c>
      <c r="W8" s="2">
        <v>4.2139623810150701E-3</v>
      </c>
      <c r="X8" s="2">
        <v>-3.2590219367226699E-3</v>
      </c>
      <c r="Y8" s="2">
        <v>-1.8670962980988201E-3</v>
      </c>
      <c r="Z8" s="1">
        <v>0.41487659751613598</v>
      </c>
      <c r="AA8" s="2">
        <v>-5.2431086889226401E-3</v>
      </c>
      <c r="AB8" s="4"/>
      <c r="AC8" s="1">
        <v>0.59066629055919995</v>
      </c>
      <c r="AD8" s="1">
        <v>0.605331708812474</v>
      </c>
      <c r="AE8" s="1">
        <v>0.84308262936123801</v>
      </c>
      <c r="AF8" s="1" t="s">
        <v>81</v>
      </c>
      <c r="AG8" s="4">
        <v>54</v>
      </c>
      <c r="AH8" s="1" t="s">
        <v>73</v>
      </c>
      <c r="AI8" s="2">
        <v>4.9283028759401397E-3</v>
      </c>
      <c r="AJ8" s="1" t="s">
        <v>56</v>
      </c>
      <c r="AK8" s="1">
        <v>0.64766585341528105</v>
      </c>
      <c r="AL8" s="4">
        <v>54</v>
      </c>
      <c r="AM8" s="1">
        <v>0.264917392566482</v>
      </c>
      <c r="AN8" s="2">
        <v>4.4887591215727801E-2</v>
      </c>
      <c r="AO8" s="2">
        <v>2.8267471960213598E-2</v>
      </c>
      <c r="AP8" s="2">
        <v>0.33333333333333298</v>
      </c>
      <c r="AQ8" s="4">
        <v>54</v>
      </c>
      <c r="AR8" s="1">
        <v>0.64766585341528105</v>
      </c>
      <c r="AS8" s="2">
        <v>1.1467416664028699E-2</v>
      </c>
      <c r="AT8" s="2">
        <v>1.9099811806189101E-3</v>
      </c>
      <c r="AU8" s="2">
        <v>0.407407407407407</v>
      </c>
      <c r="AV8" s="4">
        <v>54</v>
      </c>
      <c r="AW8" s="1">
        <v>0.157695508980539</v>
      </c>
      <c r="AX8" s="2">
        <v>4.9283028759401397E-3</v>
      </c>
      <c r="AY8" s="2">
        <v>1.5461144512769E-2</v>
      </c>
      <c r="AZ8" s="2">
        <v>0.81481481481481499</v>
      </c>
    </row>
    <row r="9" spans="1:52" ht="28.8" x14ac:dyDescent="0.3">
      <c r="A9" s="1" t="s">
        <v>82</v>
      </c>
      <c r="B9" s="1" t="s">
        <v>83</v>
      </c>
      <c r="C9" s="1" t="s">
        <v>84</v>
      </c>
      <c r="D9" s="2">
        <v>7.0000000000000001E-3</v>
      </c>
      <c r="E9" s="1" t="b">
        <v>0</v>
      </c>
      <c r="F9" s="1" t="b">
        <v>1</v>
      </c>
      <c r="G9" s="1" t="b">
        <v>1</v>
      </c>
      <c r="H9" s="1"/>
      <c r="I9" s="1" t="b">
        <v>1</v>
      </c>
      <c r="J9" s="1"/>
      <c r="K9" s="3">
        <v>43867</v>
      </c>
      <c r="L9" s="3">
        <v>46203</v>
      </c>
      <c r="M9" s="4">
        <v>1604</v>
      </c>
      <c r="N9" s="3">
        <v>43862</v>
      </c>
      <c r="O9" s="3">
        <v>46174</v>
      </c>
      <c r="P9" s="4">
        <v>77</v>
      </c>
      <c r="Q9" s="4">
        <v>1</v>
      </c>
      <c r="R9" s="2">
        <v>1.22482927103595E-2</v>
      </c>
      <c r="S9" s="2">
        <v>0.74025974025973995</v>
      </c>
      <c r="T9" s="2">
        <v>0.70833333333333304</v>
      </c>
      <c r="U9" s="4">
        <v>42</v>
      </c>
      <c r="V9" s="2">
        <v>0.97619047619047605</v>
      </c>
      <c r="W9" s="2">
        <v>1.8240093286721E-2</v>
      </c>
      <c r="X9" s="2">
        <v>-2.2165731538308499E-2</v>
      </c>
      <c r="Y9" s="2">
        <v>-1.83587719248153E-2</v>
      </c>
      <c r="Z9" s="1">
        <v>0.35907295110312198</v>
      </c>
      <c r="AA9" s="2">
        <v>-3.6924829030356002E-2</v>
      </c>
      <c r="AB9" s="4">
        <v>13</v>
      </c>
      <c r="AC9" s="1">
        <v>0.59883664542302995</v>
      </c>
      <c r="AD9" s="1">
        <v>0.64835914940588002</v>
      </c>
      <c r="AE9" s="1">
        <v>0.82253178340879196</v>
      </c>
      <c r="AF9" s="1" t="s">
        <v>85</v>
      </c>
      <c r="AG9" s="4">
        <v>77</v>
      </c>
      <c r="AH9" s="1" t="s">
        <v>56</v>
      </c>
      <c r="AI9" s="2">
        <v>1.9182427824284701E-2</v>
      </c>
      <c r="AJ9" s="1" t="s">
        <v>56</v>
      </c>
      <c r="AK9" s="1">
        <v>0.66184336355488305</v>
      </c>
      <c r="AL9" s="4">
        <v>77</v>
      </c>
      <c r="AM9" s="1">
        <v>0.546126857097191</v>
      </c>
      <c r="AN9" s="2">
        <v>4.05962799917996E-2</v>
      </c>
      <c r="AO9" s="2">
        <v>1.9435902459086701E-2</v>
      </c>
      <c r="AP9" s="2">
        <v>0.506493506493506</v>
      </c>
      <c r="AQ9" s="4">
        <v>77</v>
      </c>
      <c r="AR9" s="1">
        <v>0.66184336355488305</v>
      </c>
      <c r="AS9" s="2">
        <v>1.9182427824284701E-2</v>
      </c>
      <c r="AT9" s="2">
        <v>1.1522518777975499E-3</v>
      </c>
      <c r="AU9" s="2">
        <v>0.70129870129870098</v>
      </c>
      <c r="AV9" s="4">
        <v>77</v>
      </c>
      <c r="AW9" s="1">
        <v>-0.184848278141653</v>
      </c>
      <c r="AX9" s="2">
        <v>1.9935609981183499E-2</v>
      </c>
      <c r="AY9" s="2">
        <v>1.49482915598753E-2</v>
      </c>
      <c r="AZ9" s="2">
        <v>0.70129870129870098</v>
      </c>
    </row>
    <row r="10" spans="1:52" ht="28.8" x14ac:dyDescent="0.3">
      <c r="A10" s="1" t="s">
        <v>81</v>
      </c>
      <c r="B10" s="1" t="s">
        <v>86</v>
      </c>
      <c r="C10" s="1" t="s">
        <v>87</v>
      </c>
      <c r="D10" s="2">
        <v>5.0000000000000001E-3</v>
      </c>
      <c r="E10" s="1" t="b">
        <v>0</v>
      </c>
      <c r="F10" s="1" t="b">
        <v>1</v>
      </c>
      <c r="G10" s="1" t="b">
        <v>1</v>
      </c>
      <c r="H10" s="1"/>
      <c r="I10" s="1" t="b">
        <v>1</v>
      </c>
      <c r="J10" s="1"/>
      <c r="K10" s="3">
        <v>43396</v>
      </c>
      <c r="L10" s="3">
        <v>46203</v>
      </c>
      <c r="M10" s="4">
        <v>1929</v>
      </c>
      <c r="N10" s="3">
        <v>43405</v>
      </c>
      <c r="O10" s="3">
        <v>46174</v>
      </c>
      <c r="P10" s="4">
        <v>92</v>
      </c>
      <c r="Q10" s="4">
        <v>1</v>
      </c>
      <c r="R10" s="2">
        <v>1.1765055868546301E-2</v>
      </c>
      <c r="S10" s="2">
        <v>0.83695652173913004</v>
      </c>
      <c r="T10" s="2">
        <v>0.86206896551724099</v>
      </c>
      <c r="U10" s="4">
        <v>57</v>
      </c>
      <c r="V10" s="2">
        <v>1</v>
      </c>
      <c r="W10" s="2">
        <v>9.9099660057907404E-3</v>
      </c>
      <c r="X10" s="2">
        <v>-1.4006183062875301E-2</v>
      </c>
      <c r="Y10" s="2">
        <v>-1.0097716991130601E-2</v>
      </c>
      <c r="Z10" s="1">
        <v>0.33197466198188103</v>
      </c>
      <c r="AA10" s="2">
        <v>-2.4567093108273E-2</v>
      </c>
      <c r="AB10" s="4">
        <v>10</v>
      </c>
      <c r="AC10" s="1">
        <v>0.64237824899060003</v>
      </c>
      <c r="AD10" s="1">
        <v>0.67820270189489995</v>
      </c>
      <c r="AE10" s="1">
        <v>0.84771493920375596</v>
      </c>
      <c r="AF10" s="1" t="s">
        <v>72</v>
      </c>
      <c r="AG10" s="4">
        <v>44</v>
      </c>
      <c r="AH10" s="1" t="s">
        <v>73</v>
      </c>
      <c r="AI10" s="2">
        <v>1.15427849337331E-2</v>
      </c>
      <c r="AJ10" s="1" t="s">
        <v>56</v>
      </c>
      <c r="AK10" s="1">
        <v>0.59816979105708101</v>
      </c>
      <c r="AL10" s="4">
        <v>92</v>
      </c>
      <c r="AM10" s="1">
        <v>0.374279344741482</v>
      </c>
      <c r="AN10" s="2">
        <v>4.1256320290487897E-2</v>
      </c>
      <c r="AO10" s="2">
        <v>1.7912469004803599E-2</v>
      </c>
      <c r="AP10" s="2">
        <v>0.5</v>
      </c>
      <c r="AQ10" s="4">
        <v>92</v>
      </c>
      <c r="AR10" s="1">
        <v>0.59816979105708101</v>
      </c>
      <c r="AS10" s="2">
        <v>1.9426184360797301E-2</v>
      </c>
      <c r="AT10" s="2">
        <v>2.515793832359E-3</v>
      </c>
      <c r="AU10" s="2">
        <v>0.48913043478260898</v>
      </c>
      <c r="AV10" s="4">
        <v>92</v>
      </c>
      <c r="AW10" s="1">
        <v>-8.8666962350296405E-2</v>
      </c>
      <c r="AX10" s="2">
        <v>1.15427849337331E-2</v>
      </c>
      <c r="AY10" s="2">
        <v>1.27621159367857E-2</v>
      </c>
      <c r="AZ10" s="2">
        <v>0.72826086956521696</v>
      </c>
    </row>
    <row r="11" spans="1:52" x14ac:dyDescent="0.3">
      <c r="A11" s="1" t="s">
        <v>88</v>
      </c>
      <c r="B11" s="1" t="s">
        <v>89</v>
      </c>
      <c r="C11" s="1" t="s">
        <v>90</v>
      </c>
      <c r="D11" s="2">
        <v>7.0000000000000001E-3</v>
      </c>
      <c r="E11" s="1" t="b">
        <v>0</v>
      </c>
      <c r="F11" s="1" t="b">
        <v>1</v>
      </c>
      <c r="G11" s="1" t="b">
        <v>1</v>
      </c>
      <c r="H11" s="1"/>
      <c r="I11" s="1" t="b">
        <v>1</v>
      </c>
      <c r="J11" s="1"/>
      <c r="K11" s="3">
        <v>44820</v>
      </c>
      <c r="L11" s="3">
        <v>46203</v>
      </c>
      <c r="M11" s="4">
        <v>949</v>
      </c>
      <c r="N11" s="3">
        <v>44835</v>
      </c>
      <c r="O11" s="3">
        <v>46174</v>
      </c>
      <c r="P11" s="4">
        <v>45</v>
      </c>
      <c r="Q11" s="4">
        <v>1</v>
      </c>
      <c r="R11" s="2">
        <v>1.1640520720932499E-2</v>
      </c>
      <c r="S11" s="2">
        <v>0.68888888888888899</v>
      </c>
      <c r="T11" s="2">
        <v>0.67500000000000004</v>
      </c>
      <c r="U11" s="4">
        <v>10</v>
      </c>
      <c r="V11" s="2">
        <v>1</v>
      </c>
      <c r="W11" s="2">
        <v>8.7928949133560495E-3</v>
      </c>
      <c r="X11" s="2">
        <v>-7.7286622177066304E-3</v>
      </c>
      <c r="Y11" s="2">
        <v>-5.1326479330331002E-3</v>
      </c>
      <c r="Z11" s="1">
        <v>0.39585910911759797</v>
      </c>
      <c r="AA11" s="2">
        <v>-9.3371373907642496E-3</v>
      </c>
      <c r="AB11" s="4">
        <v>3</v>
      </c>
      <c r="AC11" s="1">
        <v>0.67488179717260599</v>
      </c>
      <c r="AD11" s="1">
        <v>0.680179023850495</v>
      </c>
      <c r="AE11" s="1">
        <v>0.88832464319441795</v>
      </c>
      <c r="AF11" s="1" t="s">
        <v>55</v>
      </c>
      <c r="AG11" s="4">
        <v>38</v>
      </c>
      <c r="AH11" s="1" t="s">
        <v>73</v>
      </c>
      <c r="AI11" s="2">
        <v>8.8488328256270208E-3</v>
      </c>
      <c r="AJ11" s="1" t="s">
        <v>56</v>
      </c>
      <c r="AK11" s="1">
        <v>0.79720563430608005</v>
      </c>
      <c r="AL11" s="4">
        <v>45</v>
      </c>
      <c r="AM11" s="1">
        <v>0.50347161375931404</v>
      </c>
      <c r="AN11" s="2">
        <v>4.6041059574721301E-2</v>
      </c>
      <c r="AO11" s="2">
        <v>3.6007487474530399E-2</v>
      </c>
      <c r="AP11" s="2">
        <v>0.4</v>
      </c>
      <c r="AQ11" s="4">
        <v>45</v>
      </c>
      <c r="AR11" s="1">
        <v>0.79720563430608005</v>
      </c>
      <c r="AS11" s="2">
        <v>9.5692696157270198E-3</v>
      </c>
      <c r="AT11" s="2">
        <v>2.7865138226792498E-3</v>
      </c>
      <c r="AU11" s="2">
        <v>0.46666666666666701</v>
      </c>
      <c r="AV11" s="4">
        <v>45</v>
      </c>
      <c r="AW11" s="1">
        <v>0.184282871938871</v>
      </c>
      <c r="AX11" s="2">
        <v>8.8488328256270208E-3</v>
      </c>
      <c r="AY11" s="2">
        <v>1.4234486151372801E-2</v>
      </c>
      <c r="AZ11" s="2">
        <v>0.73333333333333295</v>
      </c>
    </row>
    <row r="12" spans="1:52" ht="28.8" x14ac:dyDescent="0.3">
      <c r="A12" s="1" t="s">
        <v>91</v>
      </c>
      <c r="B12" s="1" t="s">
        <v>92</v>
      </c>
      <c r="C12" s="1" t="s">
        <v>93</v>
      </c>
      <c r="D12" s="2">
        <v>7.4999999999999997E-3</v>
      </c>
      <c r="E12" s="1" t="b">
        <v>0</v>
      </c>
      <c r="F12" s="1" t="b">
        <v>1</v>
      </c>
      <c r="G12" s="1" t="b">
        <v>1</v>
      </c>
      <c r="H12" s="1"/>
      <c r="I12" s="1" t="b">
        <v>1</v>
      </c>
      <c r="J12" s="1"/>
      <c r="K12" s="3">
        <v>42555</v>
      </c>
      <c r="L12" s="3">
        <v>46203</v>
      </c>
      <c r="M12" s="4">
        <v>2507</v>
      </c>
      <c r="N12" s="3">
        <v>42552</v>
      </c>
      <c r="O12" s="3">
        <v>46174</v>
      </c>
      <c r="P12" s="4">
        <v>120</v>
      </c>
      <c r="Q12" s="4">
        <v>1</v>
      </c>
      <c r="R12" s="2">
        <v>1.1518561926476399E-2</v>
      </c>
      <c r="S12" s="2">
        <v>0.77500000000000002</v>
      </c>
      <c r="T12" s="2">
        <v>0.75652173913043497</v>
      </c>
      <c r="U12" s="4">
        <v>85</v>
      </c>
      <c r="V12" s="2">
        <v>0.94117647058823495</v>
      </c>
      <c r="W12" s="2">
        <v>1.9443110250204999E-2</v>
      </c>
      <c r="X12" s="2">
        <v>-3.9118341230294902E-2</v>
      </c>
      <c r="Y12" s="2">
        <v>-2.37318221570956E-2</v>
      </c>
      <c r="Z12" s="1">
        <v>0.371925948334351</v>
      </c>
      <c r="AA12" s="2">
        <v>-5.5240966189303499E-2</v>
      </c>
      <c r="AB12" s="4">
        <v>13</v>
      </c>
      <c r="AC12" s="1">
        <v>0.68145619599183505</v>
      </c>
      <c r="AD12" s="1">
        <v>0.77378057625060703</v>
      </c>
      <c r="AE12" s="1">
        <v>0.89094209816615499</v>
      </c>
      <c r="AF12" s="1" t="s">
        <v>94</v>
      </c>
      <c r="AG12" s="4">
        <v>118</v>
      </c>
      <c r="AH12" s="1" t="s">
        <v>56</v>
      </c>
      <c r="AI12" s="2">
        <v>1.3132799691523299E-2</v>
      </c>
      <c r="AJ12" s="1" t="s">
        <v>56</v>
      </c>
      <c r="AK12" s="1">
        <v>0.781302562043386</v>
      </c>
      <c r="AL12" s="4">
        <v>102</v>
      </c>
      <c r="AM12" s="1">
        <v>0.68569749340160902</v>
      </c>
      <c r="AN12" s="2">
        <v>3.1085042938798602E-2</v>
      </c>
      <c r="AO12" s="2">
        <v>1.20550248450215E-2</v>
      </c>
      <c r="AP12" s="2">
        <v>0.480392156862745</v>
      </c>
      <c r="AQ12" s="4">
        <v>120</v>
      </c>
      <c r="AR12" s="1">
        <v>0.781302562043386</v>
      </c>
      <c r="AS12" s="2">
        <v>1.3132799691523299E-2</v>
      </c>
      <c r="AT12" s="2">
        <v>9.9669601920804297E-4</v>
      </c>
      <c r="AU12" s="2">
        <v>0.59166666666666701</v>
      </c>
      <c r="AV12" s="4">
        <v>120</v>
      </c>
      <c r="AW12" s="1">
        <v>-0.14361415960346</v>
      </c>
      <c r="AX12" s="2">
        <v>2.07385988765093E-2</v>
      </c>
      <c r="AY12" s="2">
        <v>1.08465285219497E-2</v>
      </c>
      <c r="AZ12" s="2">
        <v>0.71666666666666701</v>
      </c>
    </row>
    <row r="13" spans="1:52" ht="28.8" x14ac:dyDescent="0.3">
      <c r="A13" s="1" t="s">
        <v>95</v>
      </c>
      <c r="B13" s="1" t="s">
        <v>96</v>
      </c>
      <c r="C13" s="1" t="s">
        <v>97</v>
      </c>
      <c r="D13" s="2">
        <v>3.5000000000000001E-3</v>
      </c>
      <c r="E13" s="1" t="b">
        <v>0</v>
      </c>
      <c r="F13" s="1" t="b">
        <v>1</v>
      </c>
      <c r="G13" s="1" t="b">
        <v>1</v>
      </c>
      <c r="H13" s="1"/>
      <c r="I13" s="1" t="b">
        <v>1</v>
      </c>
      <c r="J13" s="1"/>
      <c r="K13" s="3">
        <v>43587</v>
      </c>
      <c r="L13" s="3">
        <v>46203</v>
      </c>
      <c r="M13" s="4">
        <v>1800</v>
      </c>
      <c r="N13" s="3">
        <v>43586</v>
      </c>
      <c r="O13" s="3">
        <v>46174</v>
      </c>
      <c r="P13" s="4">
        <v>86</v>
      </c>
      <c r="Q13" s="4">
        <v>1</v>
      </c>
      <c r="R13" s="2">
        <v>1.12487946183617E-2</v>
      </c>
      <c r="S13" s="2">
        <v>0.77906976744186096</v>
      </c>
      <c r="T13" s="2">
        <v>0.74074074074074103</v>
      </c>
      <c r="U13" s="4">
        <v>51</v>
      </c>
      <c r="V13" s="2">
        <v>1</v>
      </c>
      <c r="W13" s="2">
        <v>1.8043439525555701E-2</v>
      </c>
      <c r="X13" s="2">
        <v>-3.3006495954762897E-2</v>
      </c>
      <c r="Y13" s="2">
        <v>-1.9669351912247099E-2</v>
      </c>
      <c r="Z13" s="1">
        <v>0.35756673595396699</v>
      </c>
      <c r="AA13" s="2">
        <v>-3.9067215567901999E-2</v>
      </c>
      <c r="AB13" s="4">
        <v>7</v>
      </c>
      <c r="AC13" s="1">
        <v>0.73111447022012999</v>
      </c>
      <c r="AD13" s="1">
        <v>0.81101182116902903</v>
      </c>
      <c r="AE13" s="1">
        <v>0.98180513221754695</v>
      </c>
      <c r="AF13" s="1" t="s">
        <v>98</v>
      </c>
      <c r="AG13" s="4">
        <v>86</v>
      </c>
      <c r="AH13" s="1" t="s">
        <v>56</v>
      </c>
      <c r="AI13" s="2">
        <v>1.0490837065179E-2</v>
      </c>
      <c r="AJ13" s="1" t="s">
        <v>56</v>
      </c>
      <c r="AK13" s="1">
        <v>0.91544622255478603</v>
      </c>
      <c r="AL13" s="4">
        <v>86</v>
      </c>
      <c r="AM13" s="1">
        <v>0.85451382004919096</v>
      </c>
      <c r="AN13" s="2">
        <v>3.07770316083298E-2</v>
      </c>
      <c r="AO13" s="2">
        <v>1.86855522015918E-2</v>
      </c>
      <c r="AP13" s="2">
        <v>0.48837209302325602</v>
      </c>
      <c r="AQ13" s="4">
        <v>86</v>
      </c>
      <c r="AR13" s="1">
        <v>0.91544622255478603</v>
      </c>
      <c r="AS13" s="2">
        <v>1.0490837065179E-2</v>
      </c>
      <c r="AT13" s="2">
        <v>2.1195689721624799E-3</v>
      </c>
      <c r="AU13" s="2">
        <v>0.51162790697674398</v>
      </c>
      <c r="AV13" s="4">
        <v>86</v>
      </c>
      <c r="AW13" s="1">
        <v>-0.14112833429705199</v>
      </c>
      <c r="AX13" s="2">
        <v>1.9476160466036799E-2</v>
      </c>
      <c r="AY13" s="2">
        <v>1.24692027968603E-2</v>
      </c>
      <c r="AZ13" s="2">
        <v>0.70930232558139505</v>
      </c>
    </row>
    <row r="14" spans="1:52" ht="28.8" x14ac:dyDescent="0.3">
      <c r="A14" s="1" t="s">
        <v>55</v>
      </c>
      <c r="B14" s="1" t="s">
        <v>99</v>
      </c>
      <c r="C14" s="1" t="s">
        <v>100</v>
      </c>
      <c r="D14" s="2">
        <v>6.0000000000000001E-3</v>
      </c>
      <c r="E14" s="1" t="b">
        <v>0</v>
      </c>
      <c r="F14" s="1" t="b">
        <v>1</v>
      </c>
      <c r="G14" s="1" t="b">
        <v>1</v>
      </c>
      <c r="H14" s="1"/>
      <c r="I14" s="1" t="b">
        <v>1</v>
      </c>
      <c r="J14" s="1"/>
      <c r="K14" s="3">
        <v>45027</v>
      </c>
      <c r="L14" s="3">
        <v>46203</v>
      </c>
      <c r="M14" s="4">
        <v>808</v>
      </c>
      <c r="N14" s="3">
        <v>45047</v>
      </c>
      <c r="O14" s="3">
        <v>46174</v>
      </c>
      <c r="P14" s="4">
        <v>38</v>
      </c>
      <c r="Q14" s="4">
        <v>1</v>
      </c>
      <c r="R14" s="2">
        <v>1.0919685845205199E-2</v>
      </c>
      <c r="S14" s="2">
        <v>0.76315789473684204</v>
      </c>
      <c r="T14" s="2">
        <v>0.87878787878787901</v>
      </c>
      <c r="U14" s="4">
        <v>3</v>
      </c>
      <c r="V14" s="2">
        <v>1</v>
      </c>
      <c r="W14" s="2">
        <v>4.5205246600075197E-3</v>
      </c>
      <c r="X14" s="2">
        <v>-3.2034426218446898E-3</v>
      </c>
      <c r="Y14" s="2">
        <v>-1.7491746156408001E-3</v>
      </c>
      <c r="Z14" s="1">
        <v>0.14628765270986299</v>
      </c>
      <c r="AA14" s="2">
        <v>-3.2034426218445801E-3</v>
      </c>
      <c r="AB14" s="4">
        <v>5</v>
      </c>
      <c r="AC14" s="1">
        <v>0.65007470443760096</v>
      </c>
      <c r="AD14" s="1">
        <v>0.67250434915087298</v>
      </c>
      <c r="AE14" s="1">
        <v>0.89125816690189996</v>
      </c>
      <c r="AF14" s="1" t="s">
        <v>52</v>
      </c>
      <c r="AG14" s="4">
        <v>38</v>
      </c>
      <c r="AH14" s="1" t="s">
        <v>73</v>
      </c>
      <c r="AI14" s="2">
        <v>5.2455759313688602E-3</v>
      </c>
      <c r="AJ14" s="1" t="s">
        <v>56</v>
      </c>
      <c r="AK14" s="1">
        <v>0.80440853382265398</v>
      </c>
      <c r="AL14" s="4">
        <v>38</v>
      </c>
      <c r="AM14" s="1">
        <v>0.48449178970892298</v>
      </c>
      <c r="AN14" s="2">
        <v>2.7141033255593802E-2</v>
      </c>
      <c r="AO14" s="2">
        <v>5.9097932947507203E-3</v>
      </c>
      <c r="AP14" s="2">
        <v>0.31578947368421101</v>
      </c>
      <c r="AQ14" s="4">
        <v>38</v>
      </c>
      <c r="AR14" s="1">
        <v>0.80440853382265398</v>
      </c>
      <c r="AS14" s="2">
        <v>8.1031701004001099E-3</v>
      </c>
      <c r="AT14" s="2">
        <v>-7.9478034187434599E-3</v>
      </c>
      <c r="AU14" s="2">
        <v>0.23684210526315799</v>
      </c>
      <c r="AV14" s="4">
        <v>38</v>
      </c>
      <c r="AW14" s="1">
        <v>0.20103898375602899</v>
      </c>
      <c r="AX14" s="2">
        <v>5.2455759313688602E-3</v>
      </c>
      <c r="AY14" s="2">
        <v>1.3953513113241601E-2</v>
      </c>
      <c r="AZ14" s="2">
        <v>0.76315789473684204</v>
      </c>
    </row>
    <row r="15" spans="1:52" ht="28.8" x14ac:dyDescent="0.3">
      <c r="A15" s="1" t="s">
        <v>68</v>
      </c>
      <c r="B15" s="1" t="s">
        <v>101</v>
      </c>
      <c r="C15" s="1" t="s">
        <v>102</v>
      </c>
      <c r="D15" s="2">
        <v>5.0000000000000001E-3</v>
      </c>
      <c r="E15" s="1" t="b">
        <v>0</v>
      </c>
      <c r="F15" s="1" t="b">
        <v>1</v>
      </c>
      <c r="G15" s="1" t="b">
        <v>1</v>
      </c>
      <c r="H15" s="1"/>
      <c r="I15" s="1" t="b">
        <v>1</v>
      </c>
      <c r="J15" s="1"/>
      <c r="K15" s="3">
        <v>43801</v>
      </c>
      <c r="L15" s="3">
        <v>46203</v>
      </c>
      <c r="M15" s="4">
        <v>1650</v>
      </c>
      <c r="N15" s="3">
        <v>43800</v>
      </c>
      <c r="O15" s="3">
        <v>46174</v>
      </c>
      <c r="P15" s="4">
        <v>79</v>
      </c>
      <c r="Q15" s="4">
        <v>1</v>
      </c>
      <c r="R15" s="2">
        <v>1.0716183081906E-2</v>
      </c>
      <c r="S15" s="2">
        <v>0.822784810126582</v>
      </c>
      <c r="T15" s="2">
        <v>0.81081081081081097</v>
      </c>
      <c r="U15" s="4">
        <v>44</v>
      </c>
      <c r="V15" s="2">
        <v>1</v>
      </c>
      <c r="W15" s="2">
        <v>1.51633157358714E-2</v>
      </c>
      <c r="X15" s="2">
        <v>-3.1041274467750599E-2</v>
      </c>
      <c r="Y15" s="2">
        <v>-1.4857236837755E-2</v>
      </c>
      <c r="Z15" s="1">
        <v>0.34894317644991601</v>
      </c>
      <c r="AA15" s="2">
        <v>-3.9634022981064297E-2</v>
      </c>
      <c r="AB15" s="4">
        <v>9</v>
      </c>
      <c r="AC15" s="1">
        <v>0.78354141778130304</v>
      </c>
      <c r="AD15" s="1">
        <v>0.84155628505919899</v>
      </c>
      <c r="AE15" s="1">
        <v>0.94977442853526095</v>
      </c>
      <c r="AF15" s="1" t="s">
        <v>60</v>
      </c>
      <c r="AG15" s="4">
        <v>79</v>
      </c>
      <c r="AH15" s="1" t="s">
        <v>56</v>
      </c>
      <c r="AI15" s="2">
        <v>1.23073227284429E-2</v>
      </c>
      <c r="AJ15" s="1" t="s">
        <v>56</v>
      </c>
      <c r="AK15" s="1">
        <v>0.92589581507155505</v>
      </c>
      <c r="AL15" s="4">
        <v>79</v>
      </c>
      <c r="AM15" s="1">
        <v>0.68161060665192197</v>
      </c>
      <c r="AN15" s="2">
        <v>3.83060893469808E-2</v>
      </c>
      <c r="AO15" s="2">
        <v>1.70801490880357E-2</v>
      </c>
      <c r="AP15" s="2">
        <v>0.354430379746835</v>
      </c>
      <c r="AQ15" s="4">
        <v>79</v>
      </c>
      <c r="AR15" s="1">
        <v>0.92589581507155505</v>
      </c>
      <c r="AS15" s="2">
        <v>1.23073227284429E-2</v>
      </c>
      <c r="AT15" s="2">
        <v>-3.7543737623657602E-4</v>
      </c>
      <c r="AU15" s="2">
        <v>0.354430379746835</v>
      </c>
      <c r="AV15" s="4">
        <v>79</v>
      </c>
      <c r="AW15" s="1">
        <v>-0.20992054087555201</v>
      </c>
      <c r="AX15" s="2">
        <v>1.7067575934531402E-2</v>
      </c>
      <c r="AY15" s="2">
        <v>1.31304635848717E-2</v>
      </c>
      <c r="AZ15" s="2">
        <v>0.784810126582278</v>
      </c>
    </row>
    <row r="16" spans="1:52" ht="28.8" x14ac:dyDescent="0.3">
      <c r="A16" s="1" t="s">
        <v>85</v>
      </c>
      <c r="B16" s="1" t="s">
        <v>103</v>
      </c>
      <c r="C16" s="1" t="s">
        <v>104</v>
      </c>
      <c r="D16" s="2">
        <v>6.0000000000000001E-3</v>
      </c>
      <c r="E16" s="1" t="b">
        <v>0</v>
      </c>
      <c r="F16" s="1" t="b">
        <v>1</v>
      </c>
      <c r="G16" s="1" t="b">
        <v>1</v>
      </c>
      <c r="H16" s="1"/>
      <c r="I16" s="1" t="b">
        <v>1</v>
      </c>
      <c r="J16" s="1"/>
      <c r="K16" s="3">
        <v>43592</v>
      </c>
      <c r="L16" s="3">
        <v>46203</v>
      </c>
      <c r="M16" s="4">
        <v>1797</v>
      </c>
      <c r="N16" s="3">
        <v>43586</v>
      </c>
      <c r="O16" s="3">
        <v>46174</v>
      </c>
      <c r="P16" s="4">
        <v>86</v>
      </c>
      <c r="Q16" s="4">
        <v>1</v>
      </c>
      <c r="R16" s="2">
        <v>1.0284484981853101E-2</v>
      </c>
      <c r="S16" s="2">
        <v>0.77906976744186096</v>
      </c>
      <c r="T16" s="2">
        <v>0.79012345679012297</v>
      </c>
      <c r="U16" s="4">
        <v>51</v>
      </c>
      <c r="V16" s="2">
        <v>1</v>
      </c>
      <c r="W16" s="2">
        <v>1.0849314530713699E-2</v>
      </c>
      <c r="X16" s="2">
        <v>-1.66494683696327E-2</v>
      </c>
      <c r="Y16" s="2">
        <v>-1.1142797643068299E-2</v>
      </c>
      <c r="Z16" s="1">
        <v>0.47052644616058997</v>
      </c>
      <c r="AA16" s="2">
        <v>-2.7850418284353601E-2</v>
      </c>
      <c r="AB16" s="4">
        <v>8</v>
      </c>
      <c r="AC16" s="1">
        <v>0.64634570962201199</v>
      </c>
      <c r="AD16" s="1">
        <v>0.67533584242737099</v>
      </c>
      <c r="AE16" s="1">
        <v>0.87683300205793702</v>
      </c>
      <c r="AF16" s="1" t="s">
        <v>105</v>
      </c>
      <c r="AG16" s="4">
        <v>86</v>
      </c>
      <c r="AH16" s="1" t="s">
        <v>73</v>
      </c>
      <c r="AI16" s="2">
        <v>1.25669398875772E-2</v>
      </c>
      <c r="AJ16" s="1" t="s">
        <v>56</v>
      </c>
      <c r="AK16" s="1">
        <v>0.60468819983601496</v>
      </c>
      <c r="AL16" s="4">
        <v>86</v>
      </c>
      <c r="AM16" s="1">
        <v>0.46820515335693302</v>
      </c>
      <c r="AN16" s="2">
        <v>4.1301215204963097E-2</v>
      </c>
      <c r="AO16" s="2">
        <v>1.77277934046873E-2</v>
      </c>
      <c r="AP16" s="2">
        <v>0.46511627906976699</v>
      </c>
      <c r="AQ16" s="4">
        <v>86</v>
      </c>
      <c r="AR16" s="1">
        <v>0.60468819983601496</v>
      </c>
      <c r="AS16" s="2">
        <v>1.9853435825696399E-2</v>
      </c>
      <c r="AT16" s="2">
        <v>1.1742851744354101E-3</v>
      </c>
      <c r="AU16" s="2">
        <v>0.46511627906976699</v>
      </c>
      <c r="AV16" s="4">
        <v>86</v>
      </c>
      <c r="AW16" s="1">
        <v>-0.111296241605316</v>
      </c>
      <c r="AX16" s="2">
        <v>1.25669398875772E-2</v>
      </c>
      <c r="AY16" s="2">
        <v>1.15512190039953E-2</v>
      </c>
      <c r="AZ16" s="2">
        <v>0.76744186046511598</v>
      </c>
    </row>
    <row r="17" spans="1:52" x14ac:dyDescent="0.3">
      <c r="A17" s="1" t="s">
        <v>72</v>
      </c>
      <c r="B17" s="1" t="s">
        <v>106</v>
      </c>
      <c r="C17" s="1" t="s">
        <v>107</v>
      </c>
      <c r="D17" s="2">
        <v>5.7999999999999996E-3</v>
      </c>
      <c r="E17" s="1" t="b">
        <v>0</v>
      </c>
      <c r="F17" s="1" t="b">
        <v>1</v>
      </c>
      <c r="G17" s="1" t="b">
        <v>1</v>
      </c>
      <c r="H17" s="1"/>
      <c r="I17" s="1" t="b">
        <v>1</v>
      </c>
      <c r="J17" s="1"/>
      <c r="K17" s="3">
        <v>44865</v>
      </c>
      <c r="L17" s="3">
        <v>46203</v>
      </c>
      <c r="M17" s="4">
        <v>919</v>
      </c>
      <c r="N17" s="3">
        <v>44866</v>
      </c>
      <c r="O17" s="3">
        <v>46174</v>
      </c>
      <c r="P17" s="4">
        <v>44</v>
      </c>
      <c r="Q17" s="4">
        <v>1</v>
      </c>
      <c r="R17" s="2">
        <v>1.02730416546515E-2</v>
      </c>
      <c r="S17" s="2">
        <v>0.70454545454545503</v>
      </c>
      <c r="T17" s="2">
        <v>0.74358974358974395</v>
      </c>
      <c r="U17" s="4">
        <v>9</v>
      </c>
      <c r="V17" s="2">
        <v>1</v>
      </c>
      <c r="W17" s="2">
        <v>8.3842426014724501E-3</v>
      </c>
      <c r="X17" s="2">
        <v>-6.1538801503292504E-3</v>
      </c>
      <c r="Y17" s="2">
        <v>-4.8371517576372503E-3</v>
      </c>
      <c r="Z17" s="1">
        <v>0.318196464301231</v>
      </c>
      <c r="AA17" s="2">
        <v>-1.40697243453513E-2</v>
      </c>
      <c r="AB17" s="4"/>
      <c r="AC17" s="1">
        <v>0.63795467755924296</v>
      </c>
      <c r="AD17" s="1">
        <v>0.65028151560456704</v>
      </c>
      <c r="AE17" s="1">
        <v>0.86658347284111503</v>
      </c>
      <c r="AF17" s="1" t="s">
        <v>69</v>
      </c>
      <c r="AG17" s="4">
        <v>44</v>
      </c>
      <c r="AH17" s="1" t="s">
        <v>73</v>
      </c>
      <c r="AI17" s="2">
        <v>8.4668184537761808E-3</v>
      </c>
      <c r="AJ17" s="1" t="s">
        <v>56</v>
      </c>
      <c r="AK17" s="1">
        <v>0.72246079867731094</v>
      </c>
      <c r="AL17" s="4">
        <v>44</v>
      </c>
      <c r="AM17" s="1">
        <v>0.39175929205390297</v>
      </c>
      <c r="AN17" s="2">
        <v>4.7719741192373301E-2</v>
      </c>
      <c r="AO17" s="2">
        <v>3.6117220233910598E-2</v>
      </c>
      <c r="AP17" s="2">
        <v>0.38636363636363602</v>
      </c>
      <c r="AQ17" s="4">
        <v>44</v>
      </c>
      <c r="AR17" s="1">
        <v>0.72246079867731094</v>
      </c>
      <c r="AS17" s="2">
        <v>1.0791286782695199E-2</v>
      </c>
      <c r="AT17" s="2">
        <v>1.7151758157134499E-3</v>
      </c>
      <c r="AU17" s="2">
        <v>0.34090909090909099</v>
      </c>
      <c r="AV17" s="4">
        <v>44</v>
      </c>
      <c r="AW17" s="1">
        <v>0.18863322401272201</v>
      </c>
      <c r="AX17" s="2">
        <v>8.4668184537761808E-3</v>
      </c>
      <c r="AY17" s="2">
        <v>1.28746083856004E-2</v>
      </c>
      <c r="AZ17" s="2">
        <v>0.70454545454545503</v>
      </c>
    </row>
    <row r="18" spans="1:52" x14ac:dyDescent="0.3">
      <c r="A18" s="1" t="s">
        <v>108</v>
      </c>
      <c r="B18" s="1" t="s">
        <v>109</v>
      </c>
      <c r="C18" s="1" t="s">
        <v>110</v>
      </c>
      <c r="D18" s="2">
        <v>5.0000000000000001E-3</v>
      </c>
      <c r="E18" s="1" t="b">
        <v>0</v>
      </c>
      <c r="F18" s="1" t="b">
        <v>1</v>
      </c>
      <c r="G18" s="1" t="b">
        <v>1</v>
      </c>
      <c r="H18" s="1"/>
      <c r="I18" s="1" t="b">
        <v>1</v>
      </c>
      <c r="J18" s="1"/>
      <c r="K18" s="3">
        <v>40303</v>
      </c>
      <c r="L18" s="3">
        <v>46203</v>
      </c>
      <c r="M18" s="4">
        <v>4058</v>
      </c>
      <c r="N18" s="3">
        <v>40299</v>
      </c>
      <c r="O18" s="3">
        <v>46174</v>
      </c>
      <c r="P18" s="4">
        <v>194</v>
      </c>
      <c r="Q18" s="4">
        <v>1</v>
      </c>
      <c r="R18" s="2">
        <v>9.2739135181167907E-3</v>
      </c>
      <c r="S18" s="2">
        <v>0.86082474226804095</v>
      </c>
      <c r="T18" s="2">
        <v>0.82539682539682502</v>
      </c>
      <c r="U18" s="4">
        <v>159</v>
      </c>
      <c r="V18" s="2">
        <v>0.97484276729559705</v>
      </c>
      <c r="W18" s="2">
        <v>9.1738627398367401E-3</v>
      </c>
      <c r="X18" s="2">
        <v>-2.9372842240102899E-2</v>
      </c>
      <c r="Y18" s="2">
        <v>-1.39831802458391E-2</v>
      </c>
      <c r="Z18" s="1">
        <v>0.27095734629689899</v>
      </c>
      <c r="AA18" s="2">
        <v>-3.8370706794813199E-2</v>
      </c>
      <c r="AB18" s="4">
        <v>13</v>
      </c>
      <c r="AC18" s="1">
        <v>0.76415746165548903</v>
      </c>
      <c r="AD18" s="1">
        <v>0.79817308904708895</v>
      </c>
      <c r="AE18" s="1">
        <v>0.94556075296379805</v>
      </c>
      <c r="AF18" s="1" t="s">
        <v>111</v>
      </c>
      <c r="AG18" s="4">
        <v>120</v>
      </c>
      <c r="AH18" s="1" t="s">
        <v>56</v>
      </c>
      <c r="AI18" s="2">
        <v>8.3205704226548497E-3</v>
      </c>
      <c r="AJ18" s="1" t="s">
        <v>56</v>
      </c>
      <c r="AK18" s="1">
        <v>0.92897086585024702</v>
      </c>
      <c r="AL18" s="4">
        <v>102</v>
      </c>
      <c r="AM18" s="1">
        <v>0.69134630110738104</v>
      </c>
      <c r="AN18" s="2">
        <v>3.4114694617632099E-2</v>
      </c>
      <c r="AO18" s="2">
        <v>1.20641145947096E-2</v>
      </c>
      <c r="AP18" s="2">
        <v>0.41176470588235298</v>
      </c>
      <c r="AQ18" s="4">
        <v>194</v>
      </c>
      <c r="AR18" s="1">
        <v>0.92897086585024702</v>
      </c>
      <c r="AS18" s="2">
        <v>8.3205704226548497E-3</v>
      </c>
      <c r="AT18" s="2">
        <v>-1.30310919580157E-3</v>
      </c>
      <c r="AU18" s="2">
        <v>0.40721649484536099</v>
      </c>
      <c r="AV18" s="4">
        <v>194</v>
      </c>
      <c r="AW18" s="1">
        <v>-4.0993295791574597E-2</v>
      </c>
      <c r="AX18" s="2">
        <v>1.0698103854130499E-2</v>
      </c>
      <c r="AY18" s="2">
        <v>7.5117470635699402E-3</v>
      </c>
      <c r="AZ18" s="2">
        <v>0.74226804123711299</v>
      </c>
    </row>
    <row r="19" spans="1:52" ht="28.8" x14ac:dyDescent="0.3">
      <c r="A19" s="1" t="s">
        <v>111</v>
      </c>
      <c r="B19" s="1" t="s">
        <v>112</v>
      </c>
      <c r="C19" s="1" t="s">
        <v>113</v>
      </c>
      <c r="D19" s="2">
        <v>6.0000000000000001E-3</v>
      </c>
      <c r="E19" s="1" t="b">
        <v>0</v>
      </c>
      <c r="F19" s="1" t="b">
        <v>1</v>
      </c>
      <c r="G19" s="1" t="b">
        <v>1</v>
      </c>
      <c r="H19" s="1"/>
      <c r="I19" s="1" t="b">
        <v>1</v>
      </c>
      <c r="J19" s="1"/>
      <c r="K19" s="3">
        <v>42536</v>
      </c>
      <c r="L19" s="3">
        <v>46203</v>
      </c>
      <c r="M19" s="4">
        <v>2520</v>
      </c>
      <c r="N19" s="3">
        <v>42552</v>
      </c>
      <c r="O19" s="3">
        <v>46174</v>
      </c>
      <c r="P19" s="4">
        <v>120</v>
      </c>
      <c r="Q19" s="4">
        <v>1</v>
      </c>
      <c r="R19" s="2">
        <v>9.1650652069936705E-3</v>
      </c>
      <c r="S19" s="2">
        <v>0.82499999999999996</v>
      </c>
      <c r="T19" s="2">
        <v>0.77391304347826095</v>
      </c>
      <c r="U19" s="4">
        <v>85</v>
      </c>
      <c r="V19" s="2">
        <v>0.90588235294117603</v>
      </c>
      <c r="W19" s="2">
        <v>1.7654902834929199E-2</v>
      </c>
      <c r="X19" s="2">
        <v>-4.5664578484089301E-2</v>
      </c>
      <c r="Y19" s="2">
        <v>-2.18779599837414E-2</v>
      </c>
      <c r="Z19" s="1">
        <v>0.29006529302363299</v>
      </c>
      <c r="AA19" s="2">
        <v>-5.7623439801843299E-2</v>
      </c>
      <c r="AB19" s="4">
        <v>13</v>
      </c>
      <c r="AC19" s="1">
        <v>0.738794123834975</v>
      </c>
      <c r="AD19" s="1">
        <v>0.77531777551158798</v>
      </c>
      <c r="AE19" s="1">
        <v>0.96737963132042004</v>
      </c>
      <c r="AF19" s="1" t="s">
        <v>77</v>
      </c>
      <c r="AG19" s="4">
        <v>102</v>
      </c>
      <c r="AH19" s="1" t="s">
        <v>56</v>
      </c>
      <c r="AI19" s="2">
        <v>7.7989562968813304E-3</v>
      </c>
      <c r="AJ19" s="1" t="s">
        <v>56</v>
      </c>
      <c r="AK19" s="1">
        <v>0.92380173088823003</v>
      </c>
      <c r="AL19" s="4">
        <v>102</v>
      </c>
      <c r="AM19" s="1">
        <v>0.68669878200204404</v>
      </c>
      <c r="AN19" s="2">
        <v>3.1612221630997299E-2</v>
      </c>
      <c r="AO19" s="2">
        <v>1.26372045211671E-2</v>
      </c>
      <c r="AP19" s="2">
        <v>0.41176470588235298</v>
      </c>
      <c r="AQ19" s="4">
        <v>120</v>
      </c>
      <c r="AR19" s="1">
        <v>0.92380173088823003</v>
      </c>
      <c r="AS19" s="2">
        <v>7.7989562968813304E-3</v>
      </c>
      <c r="AT19" s="2">
        <v>-1.34268748971733E-3</v>
      </c>
      <c r="AU19" s="2">
        <v>0.38333333333333303</v>
      </c>
      <c r="AV19" s="4">
        <v>120</v>
      </c>
      <c r="AW19" s="1">
        <v>-0.17855554125932999</v>
      </c>
      <c r="AX19" s="2">
        <v>1.9157910625341099E-2</v>
      </c>
      <c r="AY19" s="2">
        <v>8.4822611500725599E-3</v>
      </c>
      <c r="AZ19" s="2">
        <v>0.69166666666666698</v>
      </c>
    </row>
    <row r="20" spans="1:52" ht="28.8" x14ac:dyDescent="0.3">
      <c r="A20" s="1" t="s">
        <v>114</v>
      </c>
      <c r="B20" s="1" t="s">
        <v>115</v>
      </c>
      <c r="C20" s="1" t="s">
        <v>116</v>
      </c>
      <c r="D20" s="2">
        <v>6.0000000000000001E-3</v>
      </c>
      <c r="E20" s="1" t="b">
        <v>0</v>
      </c>
      <c r="F20" s="1" t="b">
        <v>1</v>
      </c>
      <c r="G20" s="1" t="b">
        <v>1</v>
      </c>
      <c r="H20" s="1"/>
      <c r="I20" s="1" t="b">
        <v>1</v>
      </c>
      <c r="J20" s="1"/>
      <c r="K20" s="3">
        <v>44924</v>
      </c>
      <c r="L20" s="3">
        <v>46203</v>
      </c>
      <c r="M20" s="4">
        <v>878</v>
      </c>
      <c r="N20" s="3">
        <v>44927</v>
      </c>
      <c r="O20" s="3">
        <v>46174</v>
      </c>
      <c r="P20" s="4">
        <v>42</v>
      </c>
      <c r="Q20" s="4">
        <v>1</v>
      </c>
      <c r="R20" s="2">
        <v>9.1072005677401702E-3</v>
      </c>
      <c r="S20" s="2">
        <v>0.76190476190476197</v>
      </c>
      <c r="T20" s="2">
        <v>0.75675675675675702</v>
      </c>
      <c r="U20" s="4">
        <v>7</v>
      </c>
      <c r="V20" s="2">
        <v>1</v>
      </c>
      <c r="W20" s="2">
        <v>6.8223276215657897E-3</v>
      </c>
      <c r="X20" s="2">
        <v>-6.0450760994613696E-3</v>
      </c>
      <c r="Y20" s="2">
        <v>-4.1040241630829798E-3</v>
      </c>
      <c r="Z20" s="1">
        <v>0.346715678456545</v>
      </c>
      <c r="AA20" s="2">
        <v>-7.4208070895828097E-3</v>
      </c>
      <c r="AB20" s="4">
        <v>3</v>
      </c>
      <c r="AC20" s="1">
        <v>0.65820496459546995</v>
      </c>
      <c r="AD20" s="1">
        <v>0.67231276242895499</v>
      </c>
      <c r="AE20" s="1">
        <v>0.88246259238664704</v>
      </c>
      <c r="AF20" s="1" t="s">
        <v>60</v>
      </c>
      <c r="AG20" s="4">
        <v>42</v>
      </c>
      <c r="AH20" s="1" t="s">
        <v>73</v>
      </c>
      <c r="AI20" s="2">
        <v>6.6436443737180398E-3</v>
      </c>
      <c r="AJ20" s="1" t="s">
        <v>56</v>
      </c>
      <c r="AK20" s="1">
        <v>0.78814706704123105</v>
      </c>
      <c r="AL20" s="4">
        <v>42</v>
      </c>
      <c r="AM20" s="1">
        <v>0.38237579068835198</v>
      </c>
      <c r="AN20" s="2">
        <v>4.9351603798130202E-2</v>
      </c>
      <c r="AO20" s="2">
        <v>3.6437392707437698E-2</v>
      </c>
      <c r="AP20" s="2">
        <v>0.35714285714285698</v>
      </c>
      <c r="AQ20" s="4">
        <v>42</v>
      </c>
      <c r="AR20" s="1">
        <v>0.78814706704123105</v>
      </c>
      <c r="AS20" s="2">
        <v>1.09758261015618E-2</v>
      </c>
      <c r="AT20" s="2">
        <v>8.3614022894762396E-4</v>
      </c>
      <c r="AU20" s="2">
        <v>0.33333333333333298</v>
      </c>
      <c r="AV20" s="4">
        <v>42</v>
      </c>
      <c r="AW20" s="1">
        <v>0.313180074089843</v>
      </c>
      <c r="AX20" s="2">
        <v>6.6436443737180398E-3</v>
      </c>
      <c r="AY20" s="2">
        <v>1.1761447479917499E-2</v>
      </c>
      <c r="AZ20" s="2">
        <v>0.73809523809523803</v>
      </c>
    </row>
    <row r="21" spans="1:52" ht="28.8" x14ac:dyDescent="0.3">
      <c r="A21" s="1" t="s">
        <v>117</v>
      </c>
      <c r="B21" s="1" t="s">
        <v>118</v>
      </c>
      <c r="C21" s="1" t="s">
        <v>119</v>
      </c>
      <c r="D21" s="2">
        <v>6.0000000000000001E-3</v>
      </c>
      <c r="E21" s="1" t="b">
        <v>0</v>
      </c>
      <c r="F21" s="1" t="b">
        <v>1</v>
      </c>
      <c r="G21" s="1" t="b">
        <v>1</v>
      </c>
      <c r="H21" s="1"/>
      <c r="I21" s="1" t="b">
        <v>1</v>
      </c>
      <c r="J21" s="1"/>
      <c r="K21" s="3">
        <v>43832</v>
      </c>
      <c r="L21" s="3">
        <v>46203</v>
      </c>
      <c r="M21" s="4">
        <v>1629</v>
      </c>
      <c r="N21" s="3">
        <v>43831</v>
      </c>
      <c r="O21" s="3">
        <v>46174</v>
      </c>
      <c r="P21" s="4">
        <v>78</v>
      </c>
      <c r="Q21" s="4">
        <v>1</v>
      </c>
      <c r="R21" s="2">
        <v>8.9707211827596608E-3</v>
      </c>
      <c r="S21" s="2">
        <v>0.83333333333333304</v>
      </c>
      <c r="T21" s="2">
        <v>0.72602739726027399</v>
      </c>
      <c r="U21" s="4">
        <v>43</v>
      </c>
      <c r="V21" s="2">
        <v>1</v>
      </c>
      <c r="W21" s="2">
        <v>2.16677768586956E-2</v>
      </c>
      <c r="X21" s="2">
        <v>-4.2482670637400098E-2</v>
      </c>
      <c r="Y21" s="2">
        <v>-2.3116882041681198E-2</v>
      </c>
      <c r="Z21" s="1">
        <v>0.25017666919891401</v>
      </c>
      <c r="AA21" s="2">
        <v>-4.5017961884867501E-2</v>
      </c>
      <c r="AB21" s="4">
        <v>9</v>
      </c>
      <c r="AC21" s="1">
        <v>0.74235554400251502</v>
      </c>
      <c r="AD21" s="1">
        <v>0.77798696790178301</v>
      </c>
      <c r="AE21" s="1">
        <v>0.94570902910023602</v>
      </c>
      <c r="AF21" s="1" t="s">
        <v>98</v>
      </c>
      <c r="AG21" s="4">
        <v>78</v>
      </c>
      <c r="AH21" s="1" t="s">
        <v>56</v>
      </c>
      <c r="AI21" s="2">
        <v>7.9965143765385101E-3</v>
      </c>
      <c r="AJ21" s="1" t="s">
        <v>56</v>
      </c>
      <c r="AK21" s="1">
        <v>0.95042675694067802</v>
      </c>
      <c r="AL21" s="4">
        <v>78</v>
      </c>
      <c r="AM21" s="1">
        <v>0.81496888309661497</v>
      </c>
      <c r="AN21" s="2">
        <v>3.1910195984706201E-2</v>
      </c>
      <c r="AO21" s="2">
        <v>1.5684957286166999E-2</v>
      </c>
      <c r="AP21" s="2">
        <v>0.43589743589743601</v>
      </c>
      <c r="AQ21" s="4">
        <v>78</v>
      </c>
      <c r="AR21" s="1">
        <v>0.95042675694067802</v>
      </c>
      <c r="AS21" s="2">
        <v>7.9965143765385101E-3</v>
      </c>
      <c r="AT21" s="2">
        <v>-2.1567904788765101E-3</v>
      </c>
      <c r="AU21" s="2">
        <v>0.37179487179487197</v>
      </c>
      <c r="AV21" s="4">
        <v>78</v>
      </c>
      <c r="AW21" s="1">
        <v>-0.127760462791358</v>
      </c>
      <c r="AX21" s="2">
        <v>2.2936622772913501E-2</v>
      </c>
      <c r="AY21" s="2">
        <v>1.14770785055405E-2</v>
      </c>
      <c r="AZ21" s="2">
        <v>0.75641025641025605</v>
      </c>
    </row>
    <row r="22" spans="1:52" x14ac:dyDescent="0.3">
      <c r="A22" s="1" t="s">
        <v>120</v>
      </c>
      <c r="B22" s="1" t="s">
        <v>121</v>
      </c>
      <c r="C22" s="1" t="s">
        <v>122</v>
      </c>
      <c r="D22" s="2">
        <v>8.5000000000000006E-3</v>
      </c>
      <c r="E22" s="1" t="b">
        <v>0</v>
      </c>
      <c r="F22" s="1" t="b">
        <v>1</v>
      </c>
      <c r="G22" s="1" t="b">
        <v>1</v>
      </c>
      <c r="H22" s="1"/>
      <c r="I22" s="1" t="b">
        <v>1</v>
      </c>
      <c r="J22" s="1"/>
      <c r="K22" s="3">
        <v>43445</v>
      </c>
      <c r="L22" s="3">
        <v>46203</v>
      </c>
      <c r="M22" s="4">
        <v>1896</v>
      </c>
      <c r="N22" s="3">
        <v>43466</v>
      </c>
      <c r="O22" s="3">
        <v>46174</v>
      </c>
      <c r="P22" s="4">
        <v>90</v>
      </c>
      <c r="Q22" s="4">
        <v>1</v>
      </c>
      <c r="R22" s="2">
        <v>8.6608143238391406E-3</v>
      </c>
      <c r="S22" s="2">
        <v>0.88888888888888895</v>
      </c>
      <c r="T22" s="2">
        <v>0.89411764705882402</v>
      </c>
      <c r="U22" s="4">
        <v>55</v>
      </c>
      <c r="V22" s="2">
        <v>1</v>
      </c>
      <c r="W22" s="2">
        <v>2.96190132207902E-3</v>
      </c>
      <c r="X22" s="2">
        <v>-2.7976188925284999E-3</v>
      </c>
      <c r="Y22" s="2">
        <v>-2.3643654168136602E-3</v>
      </c>
      <c r="Z22" s="1">
        <v>0.17447493996528299</v>
      </c>
      <c r="AA22" s="2">
        <v>-4.5389404012334796E-3</v>
      </c>
      <c r="AB22" s="4">
        <v>6</v>
      </c>
      <c r="AC22" s="1">
        <v>0.538843088068513</v>
      </c>
      <c r="AD22" s="1">
        <v>0.57567783884647095</v>
      </c>
      <c r="AE22" s="1">
        <v>0.74747709726448197</v>
      </c>
      <c r="AF22" s="1" t="s">
        <v>114</v>
      </c>
      <c r="AG22" s="4">
        <v>42</v>
      </c>
      <c r="AH22" s="1" t="s">
        <v>73</v>
      </c>
      <c r="AI22" s="2">
        <v>5.52774174387785E-3</v>
      </c>
      <c r="AJ22" s="1" t="s">
        <v>56</v>
      </c>
      <c r="AK22" s="1">
        <v>0.55481833640870004</v>
      </c>
      <c r="AL22" s="4">
        <v>90</v>
      </c>
      <c r="AM22" s="1">
        <v>0.34179518423505301</v>
      </c>
      <c r="AN22" s="2">
        <v>4.3551064497397499E-2</v>
      </c>
      <c r="AO22" s="2">
        <v>1.51929327495521E-2</v>
      </c>
      <c r="AP22" s="2">
        <v>0.36666666666666697</v>
      </c>
      <c r="AQ22" s="4">
        <v>90</v>
      </c>
      <c r="AR22" s="1">
        <v>0.55481833640870004</v>
      </c>
      <c r="AS22" s="2">
        <v>2.2490565160252302E-2</v>
      </c>
      <c r="AT22" s="2">
        <v>-5.1504205873909004E-4</v>
      </c>
      <c r="AU22" s="2">
        <v>0.32222222222222202</v>
      </c>
      <c r="AV22" s="4">
        <v>90</v>
      </c>
      <c r="AW22" s="1">
        <v>0.160626186933892</v>
      </c>
      <c r="AX22" s="2">
        <v>5.52774174387785E-3</v>
      </c>
      <c r="AY22" s="2">
        <v>9.8298127550926501E-3</v>
      </c>
      <c r="AZ22" s="2">
        <v>0.83333333333333304</v>
      </c>
    </row>
    <row r="23" spans="1:52" ht="28.8" x14ac:dyDescent="0.3">
      <c r="A23" s="1" t="s">
        <v>123</v>
      </c>
      <c r="B23" s="1" t="s">
        <v>124</v>
      </c>
      <c r="C23" s="1" t="s">
        <v>125</v>
      </c>
      <c r="D23" s="2">
        <v>5.0000000000000001E-3</v>
      </c>
      <c r="E23" s="1" t="b">
        <v>0</v>
      </c>
      <c r="F23" s="1" t="b">
        <v>1</v>
      </c>
      <c r="G23" s="1" t="b">
        <v>1</v>
      </c>
      <c r="H23" s="1"/>
      <c r="I23" s="1" t="b">
        <v>1</v>
      </c>
      <c r="J23" s="1"/>
      <c r="K23" s="3">
        <v>40900</v>
      </c>
      <c r="L23" s="3">
        <v>46203</v>
      </c>
      <c r="M23" s="4">
        <v>3645</v>
      </c>
      <c r="N23" s="3">
        <v>40909</v>
      </c>
      <c r="O23" s="3">
        <v>46174</v>
      </c>
      <c r="P23" s="4">
        <v>174</v>
      </c>
      <c r="Q23" s="4">
        <v>1</v>
      </c>
      <c r="R23" s="2">
        <v>8.52278966414932E-3</v>
      </c>
      <c r="S23" s="2">
        <v>0.87356321839080497</v>
      </c>
      <c r="T23" s="2">
        <v>0.82248520710059203</v>
      </c>
      <c r="U23" s="4">
        <v>139</v>
      </c>
      <c r="V23" s="2">
        <v>0.86330935251798602</v>
      </c>
      <c r="W23" s="2">
        <v>1.47422885454705E-2</v>
      </c>
      <c r="X23" s="2">
        <v>-3.19414936424832E-2</v>
      </c>
      <c r="Y23" s="2">
        <v>-2.6154891209579201E-2</v>
      </c>
      <c r="Z23" s="1">
        <v>0.568947175882206</v>
      </c>
      <c r="AA23" s="2">
        <v>-7.1291624866032396E-2</v>
      </c>
      <c r="AB23" s="4">
        <v>22</v>
      </c>
      <c r="AC23" s="1">
        <v>0.72019445639484403</v>
      </c>
      <c r="AD23" s="1">
        <v>0.77798696790178301</v>
      </c>
      <c r="AE23" s="1">
        <v>0.91754495695121296</v>
      </c>
      <c r="AF23" s="1" t="s">
        <v>126</v>
      </c>
      <c r="AG23" s="4">
        <v>99</v>
      </c>
      <c r="AH23" s="1" t="s">
        <v>56</v>
      </c>
      <c r="AI23" s="2">
        <v>1.14847392839404E-2</v>
      </c>
      <c r="AJ23" s="1" t="s">
        <v>56</v>
      </c>
      <c r="AK23" s="1">
        <v>0.74682379382354402</v>
      </c>
      <c r="AL23" s="4">
        <v>102</v>
      </c>
      <c r="AM23" s="1">
        <v>0.61618123060062702</v>
      </c>
      <c r="AN23" s="2">
        <v>3.2966308536951899E-2</v>
      </c>
      <c r="AO23" s="2">
        <v>1.07009672876122E-2</v>
      </c>
      <c r="AP23" s="2">
        <v>0.43137254901960798</v>
      </c>
      <c r="AQ23" s="4">
        <v>174</v>
      </c>
      <c r="AR23" s="1">
        <v>0.74682379382354402</v>
      </c>
      <c r="AS23" s="2">
        <v>1.14847392839404E-2</v>
      </c>
      <c r="AT23" s="2">
        <v>-1.6763880923147401E-3</v>
      </c>
      <c r="AU23" s="2">
        <v>0.40229885057471299</v>
      </c>
      <c r="AV23" s="4">
        <v>174</v>
      </c>
      <c r="AW23" s="1">
        <v>-0.191838122551207</v>
      </c>
      <c r="AX23" s="2">
        <v>1.6447437264912899E-2</v>
      </c>
      <c r="AY23" s="2">
        <v>7.5404472648454802E-3</v>
      </c>
      <c r="AZ23" s="2">
        <v>0.70114942528735602</v>
      </c>
    </row>
    <row r="24" spans="1:52" ht="28.8" x14ac:dyDescent="0.3">
      <c r="A24" s="1" t="s">
        <v>127</v>
      </c>
      <c r="B24" s="1" t="s">
        <v>128</v>
      </c>
      <c r="C24" s="1" t="s">
        <v>129</v>
      </c>
      <c r="D24" s="2">
        <v>6.0000000000000001E-3</v>
      </c>
      <c r="E24" s="1" t="b">
        <v>0</v>
      </c>
      <c r="F24" s="1" t="b">
        <v>1</v>
      </c>
      <c r="G24" s="1" t="b">
        <v>1</v>
      </c>
      <c r="H24" s="1"/>
      <c r="I24" s="1" t="b">
        <v>1</v>
      </c>
      <c r="J24" s="1"/>
      <c r="K24" s="3">
        <v>43672</v>
      </c>
      <c r="L24" s="3">
        <v>46203</v>
      </c>
      <c r="M24" s="4">
        <v>1740</v>
      </c>
      <c r="N24" s="3">
        <v>43678</v>
      </c>
      <c r="O24" s="3">
        <v>46174</v>
      </c>
      <c r="P24" s="4">
        <v>83</v>
      </c>
      <c r="Q24" s="4">
        <v>1</v>
      </c>
      <c r="R24" s="2">
        <v>8.2011728520796599E-3</v>
      </c>
      <c r="S24" s="2">
        <v>0.75903614457831303</v>
      </c>
      <c r="T24" s="2">
        <v>0.70512820512820495</v>
      </c>
      <c r="U24" s="4">
        <v>48</v>
      </c>
      <c r="V24" s="2">
        <v>1</v>
      </c>
      <c r="W24" s="2">
        <v>1.3938199838728399E-2</v>
      </c>
      <c r="X24" s="2">
        <v>-3.08766202598365E-2</v>
      </c>
      <c r="Y24" s="2">
        <v>-1.2863003868377401E-2</v>
      </c>
      <c r="Z24" s="1">
        <v>0.133364914003954</v>
      </c>
      <c r="AA24" s="2">
        <v>-3.2559762517832297E-2</v>
      </c>
      <c r="AB24" s="4">
        <v>9</v>
      </c>
      <c r="AC24" s="1">
        <v>0.72979261419880903</v>
      </c>
      <c r="AD24" s="1">
        <v>0.75751823990580802</v>
      </c>
      <c r="AE24" s="1">
        <v>0.93153191828674897</v>
      </c>
      <c r="AF24" s="1" t="s">
        <v>108</v>
      </c>
      <c r="AG24" s="4">
        <v>83</v>
      </c>
      <c r="AH24" s="1" t="s">
        <v>56</v>
      </c>
      <c r="AI24" s="2">
        <v>1.2649598285158801E-2</v>
      </c>
      <c r="AJ24" s="1" t="s">
        <v>56</v>
      </c>
      <c r="AK24" s="1">
        <v>0.92799474620154898</v>
      </c>
      <c r="AL24" s="4">
        <v>83</v>
      </c>
      <c r="AM24" s="1">
        <v>0.65441143892326803</v>
      </c>
      <c r="AN24" s="2">
        <v>3.83990877070041E-2</v>
      </c>
      <c r="AO24" s="2">
        <v>1.59713270234207E-2</v>
      </c>
      <c r="AP24" s="2">
        <v>0.36144578313253001</v>
      </c>
      <c r="AQ24" s="4">
        <v>83</v>
      </c>
      <c r="AR24" s="1">
        <v>0.92799474620154898</v>
      </c>
      <c r="AS24" s="2">
        <v>1.2649598285158801E-2</v>
      </c>
      <c r="AT24" s="2">
        <v>-1.0987473403537599E-3</v>
      </c>
      <c r="AU24" s="2">
        <v>0.313253012048193</v>
      </c>
      <c r="AV24" s="4">
        <v>83</v>
      </c>
      <c r="AW24" s="1">
        <v>-0.119631975229508</v>
      </c>
      <c r="AX24" s="2">
        <v>1.5460327651623701E-2</v>
      </c>
      <c r="AY24" s="2">
        <v>1.0034622423150201E-2</v>
      </c>
      <c r="AZ24" s="2">
        <v>0.67469879518072295</v>
      </c>
    </row>
    <row r="25" spans="1:52" x14ac:dyDescent="0.3">
      <c r="A25" s="1" t="s">
        <v>130</v>
      </c>
      <c r="B25" s="1" t="s">
        <v>131</v>
      </c>
      <c r="C25" s="1" t="s">
        <v>132</v>
      </c>
      <c r="D25" s="2">
        <v>4.0000000000000001E-3</v>
      </c>
      <c r="E25" s="1" t="b">
        <v>0</v>
      </c>
      <c r="F25" s="1" t="b">
        <v>1</v>
      </c>
      <c r="G25" s="1" t="b">
        <v>1</v>
      </c>
      <c r="H25" s="1"/>
      <c r="I25" s="1" t="b">
        <v>1</v>
      </c>
      <c r="J25" s="1"/>
      <c r="K25" s="3">
        <v>43280</v>
      </c>
      <c r="L25" s="3">
        <v>46203</v>
      </c>
      <c r="M25" s="4">
        <v>2009</v>
      </c>
      <c r="N25" s="3">
        <v>43282</v>
      </c>
      <c r="O25" s="3">
        <v>46174</v>
      </c>
      <c r="P25" s="4">
        <v>96</v>
      </c>
      <c r="Q25" s="4">
        <v>1</v>
      </c>
      <c r="R25" s="2">
        <v>7.9634604470775194E-3</v>
      </c>
      <c r="S25" s="2">
        <v>0.875</v>
      </c>
      <c r="T25" s="2">
        <v>0.78021978021978</v>
      </c>
      <c r="U25" s="4">
        <v>61</v>
      </c>
      <c r="V25" s="2">
        <v>1</v>
      </c>
      <c r="W25" s="2">
        <v>1.27946887283784E-2</v>
      </c>
      <c r="X25" s="2">
        <v>-2.5643098811890499E-2</v>
      </c>
      <c r="Y25" s="2">
        <v>-1.5376206058436599E-2</v>
      </c>
      <c r="Z25" s="1">
        <v>0.437004236755487</v>
      </c>
      <c r="AA25" s="2">
        <v>-3.4336866929485899E-2</v>
      </c>
      <c r="AB25" s="4">
        <v>11</v>
      </c>
      <c r="AC25" s="1">
        <v>0.76042381606559795</v>
      </c>
      <c r="AD25" s="1">
        <v>0.84310001753921404</v>
      </c>
      <c r="AE25" s="1">
        <v>0.94908115039130103</v>
      </c>
      <c r="AF25" s="1" t="s">
        <v>98</v>
      </c>
      <c r="AG25" s="4">
        <v>96</v>
      </c>
      <c r="AH25" s="1" t="s">
        <v>56</v>
      </c>
      <c r="AI25" s="2">
        <v>1.21476801671953E-2</v>
      </c>
      <c r="AJ25" s="1" t="s">
        <v>56</v>
      </c>
      <c r="AK25" s="1">
        <v>0.92086768119711004</v>
      </c>
      <c r="AL25" s="4">
        <v>96</v>
      </c>
      <c r="AM25" s="1">
        <v>0.78497875011667795</v>
      </c>
      <c r="AN25" s="2">
        <v>3.3495120241639302E-2</v>
      </c>
      <c r="AO25" s="2">
        <v>1.3435877806069901E-2</v>
      </c>
      <c r="AP25" s="2">
        <v>0.45833333333333298</v>
      </c>
      <c r="AQ25" s="4">
        <v>96</v>
      </c>
      <c r="AR25" s="1">
        <v>0.92086768119711004</v>
      </c>
      <c r="AS25" s="2">
        <v>1.21476801671953E-2</v>
      </c>
      <c r="AT25" s="2">
        <v>-1.3866146267295101E-3</v>
      </c>
      <c r="AU25" s="2">
        <v>0.35416666666666702</v>
      </c>
      <c r="AV25" s="4">
        <v>96</v>
      </c>
      <c r="AW25" s="1">
        <v>-0.18783957972788601</v>
      </c>
      <c r="AX25" s="2">
        <v>1.4692307385454E-2</v>
      </c>
      <c r="AY25" s="2">
        <v>8.2878031339521704E-3</v>
      </c>
      <c r="AZ25" s="2">
        <v>0.73958333333333304</v>
      </c>
    </row>
    <row r="26" spans="1:52" ht="28.8" x14ac:dyDescent="0.3">
      <c r="A26" s="1" t="s">
        <v>133</v>
      </c>
      <c r="B26" s="1" t="s">
        <v>134</v>
      </c>
      <c r="C26" s="1" t="s">
        <v>135</v>
      </c>
      <c r="D26" s="2">
        <v>6.4999999999999997E-3</v>
      </c>
      <c r="E26" s="1" t="b">
        <v>0</v>
      </c>
      <c r="F26" s="1" t="b">
        <v>1</v>
      </c>
      <c r="G26" s="1" t="b">
        <v>1</v>
      </c>
      <c r="H26" s="1"/>
      <c r="I26" s="1" t="b">
        <v>1</v>
      </c>
      <c r="J26" s="1"/>
      <c r="K26" s="3">
        <v>45019</v>
      </c>
      <c r="L26" s="3">
        <v>46203</v>
      </c>
      <c r="M26" s="4">
        <v>813</v>
      </c>
      <c r="N26" s="3">
        <v>45017</v>
      </c>
      <c r="O26" s="3">
        <v>46174</v>
      </c>
      <c r="P26" s="4">
        <v>39</v>
      </c>
      <c r="Q26" s="4">
        <v>1</v>
      </c>
      <c r="R26" s="2">
        <v>7.7962216442910596E-3</v>
      </c>
      <c r="S26" s="2">
        <v>0.87179487179487203</v>
      </c>
      <c r="T26" s="2">
        <v>0.88235294117647101</v>
      </c>
      <c r="U26" s="4">
        <v>4</v>
      </c>
      <c r="V26" s="2">
        <v>1</v>
      </c>
      <c r="W26" s="2">
        <v>4.4881214156302198E-3</v>
      </c>
      <c r="X26" s="2">
        <v>-4.7839356601221397E-3</v>
      </c>
      <c r="Y26" s="2">
        <v>-2.2613719102280898E-3</v>
      </c>
      <c r="Z26" s="1">
        <v>6.7421590648219204E-2</v>
      </c>
      <c r="AA26" s="2">
        <v>-5.5435281201600102E-3</v>
      </c>
      <c r="AB26" s="4"/>
      <c r="AC26" s="1">
        <v>0.57502405908635301</v>
      </c>
      <c r="AD26" s="1">
        <v>0.59511796295117403</v>
      </c>
      <c r="AE26" s="1">
        <v>0.97285999599388495</v>
      </c>
      <c r="AF26" s="1" t="s">
        <v>136</v>
      </c>
      <c r="AG26" s="4">
        <v>39</v>
      </c>
      <c r="AH26" s="1" t="s">
        <v>73</v>
      </c>
      <c r="AI26" s="2">
        <v>4.87019099074339E-3</v>
      </c>
      <c r="AJ26" s="1" t="s">
        <v>56</v>
      </c>
      <c r="AK26" s="1">
        <v>0.59582151837967601</v>
      </c>
      <c r="AL26" s="4">
        <v>39</v>
      </c>
      <c r="AM26" s="1">
        <v>0.37907605982201797</v>
      </c>
      <c r="AN26" s="2">
        <v>2.7275655772207901E-2</v>
      </c>
      <c r="AO26" s="2">
        <v>3.1029256434984601E-3</v>
      </c>
      <c r="AP26" s="2">
        <v>0.28205128205128199</v>
      </c>
      <c r="AQ26" s="4">
        <v>39</v>
      </c>
      <c r="AR26" s="1">
        <v>0.59582151837967601</v>
      </c>
      <c r="AS26" s="2">
        <v>9.2888859797594699E-3</v>
      </c>
      <c r="AT26" s="2">
        <v>-1.0233392294621099E-2</v>
      </c>
      <c r="AU26" s="2">
        <v>0.256410256410256</v>
      </c>
      <c r="AV26" s="4">
        <v>39</v>
      </c>
      <c r="AW26" s="1">
        <v>0.301217083894181</v>
      </c>
      <c r="AX26" s="2">
        <v>4.87019099074339E-3</v>
      </c>
      <c r="AY26" s="2">
        <v>1.0936279669739001E-2</v>
      </c>
      <c r="AZ26" s="2">
        <v>0.79487179487179505</v>
      </c>
    </row>
    <row r="27" spans="1:52" ht="28.8" x14ac:dyDescent="0.3">
      <c r="A27" s="1" t="s">
        <v>105</v>
      </c>
      <c r="B27" s="1" t="s">
        <v>137</v>
      </c>
      <c r="C27" s="1" t="s">
        <v>138</v>
      </c>
      <c r="D27" s="2">
        <v>7.4999999999999997E-3</v>
      </c>
      <c r="E27" s="1" t="b">
        <v>0</v>
      </c>
      <c r="F27" s="1" t="b">
        <v>1</v>
      </c>
      <c r="G27" s="1" t="b">
        <v>1</v>
      </c>
      <c r="H27" s="1"/>
      <c r="I27" s="1" t="b">
        <v>1</v>
      </c>
      <c r="J27" s="1"/>
      <c r="K27" s="3">
        <v>37671</v>
      </c>
      <c r="L27" s="3">
        <v>46203</v>
      </c>
      <c r="M27" s="4">
        <v>5866</v>
      </c>
      <c r="N27" s="3">
        <v>37681</v>
      </c>
      <c r="O27" s="3">
        <v>46174</v>
      </c>
      <c r="P27" s="4">
        <v>280</v>
      </c>
      <c r="Q27" s="4">
        <v>1</v>
      </c>
      <c r="R27" s="2">
        <v>7.1682375996473501E-3</v>
      </c>
      <c r="S27" s="2">
        <v>0.85714285714285698</v>
      </c>
      <c r="T27" s="2">
        <v>0.85454545454545405</v>
      </c>
      <c r="U27" s="4">
        <v>245</v>
      </c>
      <c r="V27" s="2">
        <v>0.93469387755101996</v>
      </c>
      <c r="W27" s="2">
        <v>8.8285447320677907E-3</v>
      </c>
      <c r="X27" s="2">
        <v>-2.43176707424895E-2</v>
      </c>
      <c r="Y27" s="2">
        <v>-1.82152299557117E-2</v>
      </c>
      <c r="Z27" s="1">
        <v>0.46059838963097899</v>
      </c>
      <c r="AA27" s="2">
        <v>-4.3902342788538301E-2</v>
      </c>
      <c r="AB27" s="4">
        <v>16</v>
      </c>
      <c r="AC27" s="1">
        <v>0.72918515387652305</v>
      </c>
      <c r="AD27" s="1">
        <v>0.77040587945325301</v>
      </c>
      <c r="AE27" s="1">
        <v>0.93823194685549804</v>
      </c>
      <c r="AF27" s="1" t="s">
        <v>94</v>
      </c>
      <c r="AG27" s="4">
        <v>118</v>
      </c>
      <c r="AH27" s="1" t="s">
        <v>56</v>
      </c>
      <c r="AI27" s="2">
        <v>1.06255815988803E-2</v>
      </c>
      <c r="AJ27" s="1" t="s">
        <v>56</v>
      </c>
      <c r="AK27" s="1">
        <v>0.74354896493575495</v>
      </c>
      <c r="AL27" s="4">
        <v>102</v>
      </c>
      <c r="AM27" s="1">
        <v>0.68490903695356997</v>
      </c>
      <c r="AN27" s="2">
        <v>3.34406797721786E-2</v>
      </c>
      <c r="AO27" s="2">
        <v>8.4238632311992596E-3</v>
      </c>
      <c r="AP27" s="2">
        <v>0.39215686274509798</v>
      </c>
      <c r="AQ27" s="4">
        <v>210</v>
      </c>
      <c r="AR27" s="1">
        <v>0.74354896493575495</v>
      </c>
      <c r="AS27" s="2">
        <v>1.06255815988803E-2</v>
      </c>
      <c r="AT27" s="2">
        <v>-6.2353397964098898E-3</v>
      </c>
      <c r="AU27" s="2">
        <v>0.28095238095238101</v>
      </c>
      <c r="AV27" s="4">
        <v>280</v>
      </c>
      <c r="AW27" s="1">
        <v>-5.7400046532895301E-2</v>
      </c>
      <c r="AX27" s="2">
        <v>1.1278460986821399E-2</v>
      </c>
      <c r="AY27" s="2">
        <v>2.8820084016198998E-3</v>
      </c>
      <c r="AZ27" s="2">
        <v>0.628571428571429</v>
      </c>
    </row>
    <row r="28" spans="1:52" ht="28.8" x14ac:dyDescent="0.3">
      <c r="A28" s="1" t="s">
        <v>98</v>
      </c>
      <c r="B28" s="1" t="s">
        <v>139</v>
      </c>
      <c r="C28" s="1" t="s">
        <v>140</v>
      </c>
      <c r="D28" s="2">
        <v>3.0000000000000001E-3</v>
      </c>
      <c r="E28" s="1" t="b">
        <v>0</v>
      </c>
      <c r="F28" s="1" t="b">
        <v>1</v>
      </c>
      <c r="G28" s="1" t="b">
        <v>1</v>
      </c>
      <c r="H28" s="1"/>
      <c r="I28" s="1" t="b">
        <v>1</v>
      </c>
      <c r="J28" s="1"/>
      <c r="K28" s="3">
        <v>40947</v>
      </c>
      <c r="L28" s="3">
        <v>46203</v>
      </c>
      <c r="M28" s="4">
        <v>3612</v>
      </c>
      <c r="N28" s="3">
        <v>40969</v>
      </c>
      <c r="O28" s="3">
        <v>46174</v>
      </c>
      <c r="P28" s="4">
        <v>172</v>
      </c>
      <c r="Q28" s="4">
        <v>1</v>
      </c>
      <c r="R28" s="2">
        <v>7.0623557969042797E-3</v>
      </c>
      <c r="S28" s="2">
        <v>0.85465116279069797</v>
      </c>
      <c r="T28" s="2">
        <v>0.84431137724550898</v>
      </c>
      <c r="U28" s="4">
        <v>137</v>
      </c>
      <c r="V28" s="2">
        <v>0.91970802919707995</v>
      </c>
      <c r="W28" s="2">
        <v>1.3502127520485E-2</v>
      </c>
      <c r="X28" s="2">
        <v>-4.0336000829606998E-2</v>
      </c>
      <c r="Y28" s="2">
        <v>-2.1429607730981699E-2</v>
      </c>
      <c r="Z28" s="1">
        <v>0.30780729492925402</v>
      </c>
      <c r="AA28" s="2">
        <v>-5.16215252401062E-2</v>
      </c>
      <c r="AB28" s="4">
        <v>13</v>
      </c>
      <c r="AC28" s="1">
        <v>0.73594728211031102</v>
      </c>
      <c r="AD28" s="1">
        <v>0.81318358317372497</v>
      </c>
      <c r="AE28" s="1">
        <v>0.98180513221754695</v>
      </c>
      <c r="AF28" s="1" t="s">
        <v>95</v>
      </c>
      <c r="AG28" s="4">
        <v>86</v>
      </c>
      <c r="AH28" s="1" t="s">
        <v>56</v>
      </c>
      <c r="AI28" s="2">
        <v>6.05113899136169E-3</v>
      </c>
      <c r="AJ28" s="1" t="s">
        <v>56</v>
      </c>
      <c r="AK28" s="1">
        <v>0.94672889375409397</v>
      </c>
      <c r="AL28" s="4">
        <v>102</v>
      </c>
      <c r="AM28" s="1">
        <v>0.83359204503580298</v>
      </c>
      <c r="AN28" s="2">
        <v>2.8199799602273899E-2</v>
      </c>
      <c r="AO28" s="2">
        <v>1.01564237132958E-2</v>
      </c>
      <c r="AP28" s="2">
        <v>0.34313725490196101</v>
      </c>
      <c r="AQ28" s="4">
        <v>172</v>
      </c>
      <c r="AR28" s="1">
        <v>0.94672889375409397</v>
      </c>
      <c r="AS28" s="2">
        <v>6.05113899136169E-3</v>
      </c>
      <c r="AT28" s="2">
        <v>-3.1351032272629599E-3</v>
      </c>
      <c r="AU28" s="2">
        <v>0.27906976744186002</v>
      </c>
      <c r="AV28" s="4">
        <v>172</v>
      </c>
      <c r="AW28" s="1">
        <v>-0.13461201434286699</v>
      </c>
      <c r="AX28" s="2">
        <v>1.5008595657374901E-2</v>
      </c>
      <c r="AY28" s="2">
        <v>6.2723554364092502E-3</v>
      </c>
      <c r="AZ28" s="2">
        <v>0.67441860465116299</v>
      </c>
    </row>
    <row r="29" spans="1:52" x14ac:dyDescent="0.3">
      <c r="A29" s="1" t="s">
        <v>141</v>
      </c>
      <c r="B29" s="1" t="s">
        <v>142</v>
      </c>
      <c r="C29" s="1" t="s">
        <v>143</v>
      </c>
      <c r="D29" s="2">
        <v>6.0000000000000001E-3</v>
      </c>
      <c r="E29" s="1" t="b">
        <v>0</v>
      </c>
      <c r="F29" s="1" t="b">
        <v>1</v>
      </c>
      <c r="G29" s="1" t="b">
        <v>1</v>
      </c>
      <c r="H29" s="1"/>
      <c r="I29" s="1" t="b">
        <v>1</v>
      </c>
      <c r="J29" s="1"/>
      <c r="K29" s="3">
        <v>43613</v>
      </c>
      <c r="L29" s="3">
        <v>46203</v>
      </c>
      <c r="M29" s="4">
        <v>1782</v>
      </c>
      <c r="N29" s="3">
        <v>43617</v>
      </c>
      <c r="O29" s="3">
        <v>46174</v>
      </c>
      <c r="P29" s="4">
        <v>85</v>
      </c>
      <c r="Q29" s="4">
        <v>1</v>
      </c>
      <c r="R29" s="2">
        <v>6.9569483330984604E-3</v>
      </c>
      <c r="S29" s="2">
        <v>0.76470588235294101</v>
      </c>
      <c r="T29" s="2">
        <v>0.76249999999999996</v>
      </c>
      <c r="U29" s="4">
        <v>50</v>
      </c>
      <c r="V29" s="2">
        <v>1</v>
      </c>
      <c r="W29" s="2">
        <v>1.48610750235873E-2</v>
      </c>
      <c r="X29" s="2">
        <v>-2.4696199499742999E-2</v>
      </c>
      <c r="Y29" s="2">
        <v>-1.7602818401164899E-2</v>
      </c>
      <c r="Z29" s="1">
        <v>0.17795370716370501</v>
      </c>
      <c r="AA29" s="2">
        <v>-2.8661131545165901E-2</v>
      </c>
      <c r="AB29" s="4">
        <v>12</v>
      </c>
      <c r="AC29" s="1">
        <v>0.64800008977526902</v>
      </c>
      <c r="AD29" s="1">
        <v>0.70704459287492105</v>
      </c>
      <c r="AE29" s="1">
        <v>0.91206950604015902</v>
      </c>
      <c r="AF29" s="1" t="s">
        <v>95</v>
      </c>
      <c r="AG29" s="4">
        <v>85</v>
      </c>
      <c r="AH29" s="1" t="s">
        <v>56</v>
      </c>
      <c r="AI29" s="2">
        <v>1.39698406612207E-2</v>
      </c>
      <c r="AJ29" s="1" t="s">
        <v>144</v>
      </c>
      <c r="AK29" s="1">
        <v>0.86351147160628206</v>
      </c>
      <c r="AL29" s="4">
        <v>85</v>
      </c>
      <c r="AM29" s="1">
        <v>0.86351147160628206</v>
      </c>
      <c r="AN29" s="2">
        <v>3.30581868190198E-2</v>
      </c>
      <c r="AO29" s="2">
        <v>1.44855292208861E-2</v>
      </c>
      <c r="AP29" s="2">
        <v>0.44705882352941201</v>
      </c>
      <c r="AQ29" s="4">
        <v>85</v>
      </c>
      <c r="AR29" s="1">
        <v>0.85548676448340599</v>
      </c>
      <c r="AS29" s="2">
        <v>1.39698406612207E-2</v>
      </c>
      <c r="AT29" s="2">
        <v>-2.1926136529675198E-3</v>
      </c>
      <c r="AU29" s="2">
        <v>0.29411764705882398</v>
      </c>
      <c r="AV29" s="4">
        <v>85</v>
      </c>
      <c r="AW29" s="1">
        <v>-0.13538312403993999</v>
      </c>
      <c r="AX29" s="2">
        <v>1.6417511344489301E-2</v>
      </c>
      <c r="AY29" s="2">
        <v>8.3749617691708505E-3</v>
      </c>
      <c r="AZ29" s="2">
        <v>0.72941176470588198</v>
      </c>
    </row>
    <row r="30" spans="1:52" ht="28.8" x14ac:dyDescent="0.3">
      <c r="A30" s="1" t="s">
        <v>145</v>
      </c>
      <c r="B30" s="1" t="s">
        <v>146</v>
      </c>
      <c r="C30" s="1" t="s">
        <v>147</v>
      </c>
      <c r="D30" s="2">
        <v>8.0000000000000002E-3</v>
      </c>
      <c r="E30" s="1" t="b">
        <v>0</v>
      </c>
      <c r="F30" s="1" t="b">
        <v>1</v>
      </c>
      <c r="G30" s="1" t="b">
        <v>1</v>
      </c>
      <c r="H30" s="1"/>
      <c r="I30" s="1" t="b">
        <v>1</v>
      </c>
      <c r="J30" s="1"/>
      <c r="K30" s="3">
        <v>43734</v>
      </c>
      <c r="L30" s="3">
        <v>46203</v>
      </c>
      <c r="M30" s="4">
        <v>1696</v>
      </c>
      <c r="N30" s="3">
        <v>43739</v>
      </c>
      <c r="O30" s="3">
        <v>46174</v>
      </c>
      <c r="P30" s="4">
        <v>81</v>
      </c>
      <c r="Q30" s="4">
        <v>1</v>
      </c>
      <c r="R30" s="2">
        <v>6.9437123409608103E-3</v>
      </c>
      <c r="S30" s="2">
        <v>0.75308641975308599</v>
      </c>
      <c r="T30" s="2">
        <v>0.77631578947368396</v>
      </c>
      <c r="U30" s="4">
        <v>46</v>
      </c>
      <c r="V30" s="2">
        <v>1</v>
      </c>
      <c r="W30" s="2">
        <v>2.72029779508547E-2</v>
      </c>
      <c r="X30" s="2">
        <v>-5.1719118499768603E-2</v>
      </c>
      <c r="Y30" s="2">
        <v>-2.9329096217569701E-2</v>
      </c>
      <c r="Z30" s="1">
        <v>0.37553372260262502</v>
      </c>
      <c r="AA30" s="2">
        <v>-6.2464229924488301E-2</v>
      </c>
      <c r="AB30" s="4">
        <v>11</v>
      </c>
      <c r="AC30" s="1">
        <v>0.75204025154572796</v>
      </c>
      <c r="AD30" s="1">
        <v>0.79723914859532197</v>
      </c>
      <c r="AE30" s="1">
        <v>0.93351241101155902</v>
      </c>
      <c r="AF30" s="1" t="s">
        <v>68</v>
      </c>
      <c r="AG30" s="4">
        <v>79</v>
      </c>
      <c r="AH30" s="1" t="s">
        <v>56</v>
      </c>
      <c r="AI30" s="2">
        <v>1.0050333272425801E-2</v>
      </c>
      <c r="AJ30" s="1" t="s">
        <v>56</v>
      </c>
      <c r="AK30" s="1">
        <v>0.92997519314280697</v>
      </c>
      <c r="AL30" s="4">
        <v>81</v>
      </c>
      <c r="AM30" s="1">
        <v>0.73807964341724897</v>
      </c>
      <c r="AN30" s="2">
        <v>3.2046047442309197E-2</v>
      </c>
      <c r="AO30" s="2">
        <v>1.4743168072562301E-2</v>
      </c>
      <c r="AP30" s="2">
        <v>0.45679012345678999</v>
      </c>
      <c r="AQ30" s="4">
        <v>81</v>
      </c>
      <c r="AR30" s="1">
        <v>0.92997519314280697</v>
      </c>
      <c r="AS30" s="2">
        <v>1.0050333272425801E-2</v>
      </c>
      <c r="AT30" s="2">
        <v>-2.5571851846862802E-3</v>
      </c>
      <c r="AU30" s="2">
        <v>0.44444444444444398</v>
      </c>
      <c r="AV30" s="4">
        <v>81</v>
      </c>
      <c r="AW30" s="1">
        <v>-0.14040225703138101</v>
      </c>
      <c r="AX30" s="2">
        <v>2.8390423287050201E-2</v>
      </c>
      <c r="AY30" s="2">
        <v>9.1494466671155905E-3</v>
      </c>
      <c r="AZ30" s="2">
        <v>0.76543209876543195</v>
      </c>
    </row>
    <row r="31" spans="1:52" ht="28.8" x14ac:dyDescent="0.3">
      <c r="A31" s="1" t="s">
        <v>148</v>
      </c>
      <c r="B31" s="1" t="s">
        <v>149</v>
      </c>
      <c r="C31" s="1" t="s">
        <v>150</v>
      </c>
      <c r="D31" s="2">
        <v>5.0000000000000001E-3</v>
      </c>
      <c r="E31" s="1" t="b">
        <v>0</v>
      </c>
      <c r="F31" s="1" t="b">
        <v>1</v>
      </c>
      <c r="G31" s="1" t="b">
        <v>1</v>
      </c>
      <c r="H31" s="1"/>
      <c r="I31" s="1" t="b">
        <v>1</v>
      </c>
      <c r="J31" s="1"/>
      <c r="K31" s="3">
        <v>44396</v>
      </c>
      <c r="L31" s="3">
        <v>46203</v>
      </c>
      <c r="M31" s="4">
        <v>1243</v>
      </c>
      <c r="N31" s="3">
        <v>44409</v>
      </c>
      <c r="O31" s="3">
        <v>46174</v>
      </c>
      <c r="P31" s="4">
        <v>59</v>
      </c>
      <c r="Q31" s="4">
        <v>1</v>
      </c>
      <c r="R31" s="2">
        <v>6.9007935514053802E-3</v>
      </c>
      <c r="S31" s="2">
        <v>0.72881355932203395</v>
      </c>
      <c r="T31" s="2">
        <v>0.75925925925925897</v>
      </c>
      <c r="U31" s="4">
        <v>24</v>
      </c>
      <c r="V31" s="2">
        <v>1</v>
      </c>
      <c r="W31" s="2">
        <v>9.0082078546017894E-3</v>
      </c>
      <c r="X31" s="2">
        <v>-8.9222744809159798E-3</v>
      </c>
      <c r="Y31" s="2">
        <v>-7.9204181338429994E-3</v>
      </c>
      <c r="Z31" s="1">
        <v>0.57885651935805205</v>
      </c>
      <c r="AA31" s="2">
        <v>-2.5316076221288002E-2</v>
      </c>
      <c r="AB31" s="4">
        <v>16</v>
      </c>
      <c r="AC31" s="1">
        <v>0.67503185899169005</v>
      </c>
      <c r="AD31" s="1">
        <v>0.70746670749502405</v>
      </c>
      <c r="AE31" s="1">
        <v>0.88742264248421598</v>
      </c>
      <c r="AF31" s="1" t="s">
        <v>105</v>
      </c>
      <c r="AG31" s="4">
        <v>59</v>
      </c>
      <c r="AH31" s="1" t="s">
        <v>56</v>
      </c>
      <c r="AI31" s="2">
        <v>7.3033588901654199E-3</v>
      </c>
      <c r="AJ31" s="1" t="s">
        <v>56</v>
      </c>
      <c r="AK31" s="1">
        <v>0.847011790098257</v>
      </c>
      <c r="AL31" s="4">
        <v>59</v>
      </c>
      <c r="AM31" s="1">
        <v>0.67115025067950196</v>
      </c>
      <c r="AN31" s="2">
        <v>3.8143144362758299E-2</v>
      </c>
      <c r="AO31" s="2">
        <v>1.9684319670331799E-2</v>
      </c>
      <c r="AP31" s="2">
        <v>0.40677966101694901</v>
      </c>
      <c r="AQ31" s="4">
        <v>59</v>
      </c>
      <c r="AR31" s="1">
        <v>0.847011790098257</v>
      </c>
      <c r="AS31" s="2">
        <v>7.3033588901654199E-3</v>
      </c>
      <c r="AT31" s="2">
        <v>-4.7604988175916603E-3</v>
      </c>
      <c r="AU31" s="2">
        <v>0.25423728813559299</v>
      </c>
      <c r="AV31" s="4">
        <v>59</v>
      </c>
      <c r="AW31" s="1">
        <v>-0.103179469069897</v>
      </c>
      <c r="AX31" s="2">
        <v>1.11235623584067E-2</v>
      </c>
      <c r="AY31" s="2">
        <v>1.10760206533003E-2</v>
      </c>
      <c r="AZ31" s="2">
        <v>0.66101694915254205</v>
      </c>
    </row>
    <row r="32" spans="1:52" ht="28.8" x14ac:dyDescent="0.3">
      <c r="A32" s="1" t="s">
        <v>64</v>
      </c>
      <c r="B32" s="1" t="s">
        <v>151</v>
      </c>
      <c r="C32" s="1" t="s">
        <v>152</v>
      </c>
      <c r="D32" s="2">
        <v>6.0000000000000001E-3</v>
      </c>
      <c r="E32" s="1" t="b">
        <v>0</v>
      </c>
      <c r="F32" s="1" t="b">
        <v>1</v>
      </c>
      <c r="G32" s="1" t="b">
        <v>1</v>
      </c>
      <c r="H32" s="1"/>
      <c r="I32" s="1" t="b">
        <v>1</v>
      </c>
      <c r="J32" s="1"/>
      <c r="K32" s="3">
        <v>40995</v>
      </c>
      <c r="L32" s="3">
        <v>46203</v>
      </c>
      <c r="M32" s="4">
        <v>3580</v>
      </c>
      <c r="N32" s="3">
        <v>41000</v>
      </c>
      <c r="O32" s="3">
        <v>46174</v>
      </c>
      <c r="P32" s="4">
        <v>171</v>
      </c>
      <c r="Q32" s="4">
        <v>1</v>
      </c>
      <c r="R32" s="2">
        <v>6.6255571027644703E-3</v>
      </c>
      <c r="S32" s="2">
        <v>0.77777777777777801</v>
      </c>
      <c r="T32" s="2">
        <v>0.80722891566265098</v>
      </c>
      <c r="U32" s="4">
        <v>136</v>
      </c>
      <c r="V32" s="2">
        <v>0.86029411764705899</v>
      </c>
      <c r="W32" s="2">
        <v>1.10973973438377E-2</v>
      </c>
      <c r="X32" s="2">
        <v>-3.1681190463560299E-2</v>
      </c>
      <c r="Y32" s="2">
        <v>-1.8311156766739001E-2</v>
      </c>
      <c r="Z32" s="1">
        <v>0.41617799141335698</v>
      </c>
      <c r="AA32" s="2">
        <v>-5.2358526464477598E-2</v>
      </c>
      <c r="AB32" s="4">
        <v>21</v>
      </c>
      <c r="AC32" s="1">
        <v>0.75735348985843598</v>
      </c>
      <c r="AD32" s="1">
        <v>0.81885257514568499</v>
      </c>
      <c r="AE32" s="1">
        <v>0.93667933207627496</v>
      </c>
      <c r="AF32" s="1" t="s">
        <v>68</v>
      </c>
      <c r="AG32" s="4">
        <v>79</v>
      </c>
      <c r="AH32" s="1" t="s">
        <v>56</v>
      </c>
      <c r="AI32" s="2">
        <v>1.0391522323652799E-2</v>
      </c>
      <c r="AJ32" s="1" t="s">
        <v>56</v>
      </c>
      <c r="AK32" s="1">
        <v>0.81111551407754601</v>
      </c>
      <c r="AL32" s="4">
        <v>102</v>
      </c>
      <c r="AM32" s="1">
        <v>0.56526498550559101</v>
      </c>
      <c r="AN32" s="2">
        <v>3.5570106031226699E-2</v>
      </c>
      <c r="AO32" s="2">
        <v>1.10384834891875E-2</v>
      </c>
      <c r="AP32" s="2">
        <v>0.35294117647058798</v>
      </c>
      <c r="AQ32" s="4">
        <v>171</v>
      </c>
      <c r="AR32" s="1">
        <v>0.81111551407754601</v>
      </c>
      <c r="AS32" s="2">
        <v>1.0391522323652799E-2</v>
      </c>
      <c r="AT32" s="2">
        <v>-3.54277721615182E-3</v>
      </c>
      <c r="AU32" s="2">
        <v>0.321637426900585</v>
      </c>
      <c r="AV32" s="4">
        <v>171</v>
      </c>
      <c r="AW32" s="1">
        <v>-0.20882419572907501</v>
      </c>
      <c r="AX32" s="2">
        <v>1.3096300295692699E-2</v>
      </c>
      <c r="AY32" s="2">
        <v>5.9276502129694802E-3</v>
      </c>
      <c r="AZ32" s="2">
        <v>0.66666666666666696</v>
      </c>
    </row>
    <row r="33" spans="1:52" ht="28.8" x14ac:dyDescent="0.3">
      <c r="A33" s="1" t="s">
        <v>77</v>
      </c>
      <c r="B33" s="1" t="s">
        <v>153</v>
      </c>
      <c r="C33" s="1" t="s">
        <v>154</v>
      </c>
      <c r="D33" s="2">
        <v>1.0999999999999999E-2</v>
      </c>
      <c r="E33" s="1" t="b">
        <v>0</v>
      </c>
      <c r="F33" s="1" t="b">
        <v>1</v>
      </c>
      <c r="G33" s="1" t="b">
        <v>1</v>
      </c>
      <c r="H33" s="1"/>
      <c r="I33" s="1" t="b">
        <v>1</v>
      </c>
      <c r="J33" s="1"/>
      <c r="K33" s="3">
        <v>43090</v>
      </c>
      <c r="L33" s="3">
        <v>46203</v>
      </c>
      <c r="M33" s="4">
        <v>2138</v>
      </c>
      <c r="N33" s="3">
        <v>43101</v>
      </c>
      <c r="O33" s="3">
        <v>46174</v>
      </c>
      <c r="P33" s="4">
        <v>102</v>
      </c>
      <c r="Q33" s="4">
        <v>1</v>
      </c>
      <c r="R33" s="2">
        <v>6.4595035659824598E-3</v>
      </c>
      <c r="S33" s="2">
        <v>0.73529411764705899</v>
      </c>
      <c r="T33" s="2">
        <v>0.76288659793814395</v>
      </c>
      <c r="U33" s="4">
        <v>67</v>
      </c>
      <c r="V33" s="2">
        <v>0.92537313432835799</v>
      </c>
      <c r="W33" s="2">
        <v>3.0466343349788101E-2</v>
      </c>
      <c r="X33" s="2">
        <v>-7.9403085865454207E-2</v>
      </c>
      <c r="Y33" s="2">
        <v>-3.4178958880791602E-2</v>
      </c>
      <c r="Z33" s="1">
        <v>0.207188243676352</v>
      </c>
      <c r="AA33" s="2">
        <v>-8.9593897131870298E-2</v>
      </c>
      <c r="AB33" s="4">
        <v>23</v>
      </c>
      <c r="AC33" s="1">
        <v>0.70977757782498097</v>
      </c>
      <c r="AD33" s="1">
        <v>0.72829190910870401</v>
      </c>
      <c r="AE33" s="1">
        <v>0.96737963132042004</v>
      </c>
      <c r="AF33" s="1" t="s">
        <v>111</v>
      </c>
      <c r="AG33" s="4">
        <v>102</v>
      </c>
      <c r="AH33" s="1" t="s">
        <v>56</v>
      </c>
      <c r="AI33" s="2">
        <v>1.42139041343402E-2</v>
      </c>
      <c r="AJ33" s="1" t="s">
        <v>56</v>
      </c>
      <c r="AK33" s="1">
        <v>0.91294593706702198</v>
      </c>
      <c r="AL33" s="4">
        <v>102</v>
      </c>
      <c r="AM33" s="1">
        <v>0.62690091648324298</v>
      </c>
      <c r="AN33" s="2">
        <v>3.31327801752467E-2</v>
      </c>
      <c r="AO33" s="2">
        <v>1.10149464303655E-2</v>
      </c>
      <c r="AP33" s="2">
        <v>0.441176470588235</v>
      </c>
      <c r="AQ33" s="4">
        <v>102</v>
      </c>
      <c r="AR33" s="1">
        <v>0.91294593706702198</v>
      </c>
      <c r="AS33" s="2">
        <v>1.42139041343402E-2</v>
      </c>
      <c r="AT33" s="2">
        <v>-2.6831349389546699E-3</v>
      </c>
      <c r="AU33" s="2">
        <v>0.5</v>
      </c>
      <c r="AV33" s="4">
        <v>102</v>
      </c>
      <c r="AW33" s="1">
        <v>-0.15698339740176701</v>
      </c>
      <c r="AX33" s="2">
        <v>3.1638780877099502E-2</v>
      </c>
      <c r="AY33" s="2">
        <v>6.8765416280702797E-3</v>
      </c>
      <c r="AZ33" s="2">
        <v>0.71568627450980404</v>
      </c>
    </row>
    <row r="34" spans="1:52" ht="28.8" x14ac:dyDescent="0.3">
      <c r="A34" s="1" t="s">
        <v>155</v>
      </c>
      <c r="B34" s="1" t="s">
        <v>156</v>
      </c>
      <c r="C34" s="1" t="s">
        <v>157</v>
      </c>
      <c r="D34" s="2">
        <v>5.0000000000000001E-3</v>
      </c>
      <c r="E34" s="1" t="b">
        <v>0</v>
      </c>
      <c r="F34" s="1" t="b">
        <v>1</v>
      </c>
      <c r="G34" s="1" t="b">
        <v>1</v>
      </c>
      <c r="H34" s="1"/>
      <c r="I34" s="1" t="b">
        <v>1</v>
      </c>
      <c r="J34" s="1"/>
      <c r="K34" s="3">
        <v>40772</v>
      </c>
      <c r="L34" s="3">
        <v>46203</v>
      </c>
      <c r="M34" s="4">
        <v>3733</v>
      </c>
      <c r="N34" s="3">
        <v>40787</v>
      </c>
      <c r="O34" s="3">
        <v>46174</v>
      </c>
      <c r="P34" s="4">
        <v>178</v>
      </c>
      <c r="Q34" s="4">
        <v>1</v>
      </c>
      <c r="R34" s="2">
        <v>6.3797037613007E-3</v>
      </c>
      <c r="S34" s="2">
        <v>0.84269662921348298</v>
      </c>
      <c r="T34" s="2">
        <v>0.86127167630057799</v>
      </c>
      <c r="U34" s="4">
        <v>143</v>
      </c>
      <c r="V34" s="2">
        <v>0.83216783216783197</v>
      </c>
      <c r="W34" s="2">
        <v>1.43399601299965E-2</v>
      </c>
      <c r="X34" s="2">
        <v>-4.0432990826013503E-2</v>
      </c>
      <c r="Y34" s="2">
        <v>-2.3750786577920398E-2</v>
      </c>
      <c r="Z34" s="1">
        <v>0.48934870403476399</v>
      </c>
      <c r="AA34" s="2">
        <v>-7.6098323052052705E-2</v>
      </c>
      <c r="AB34" s="4">
        <v>23</v>
      </c>
      <c r="AC34" s="1">
        <v>0.70233221098892096</v>
      </c>
      <c r="AD34" s="1">
        <v>0.75754882233332099</v>
      </c>
      <c r="AE34" s="1">
        <v>0.97045917221098499</v>
      </c>
      <c r="AF34" s="1" t="s">
        <v>158</v>
      </c>
      <c r="AG34" s="4">
        <v>94</v>
      </c>
      <c r="AH34" s="1" t="s">
        <v>56</v>
      </c>
      <c r="AI34" s="2">
        <v>1.1069326127421401E-2</v>
      </c>
      <c r="AJ34" s="1" t="s">
        <v>56</v>
      </c>
      <c r="AK34" s="1">
        <v>0.75500752364873103</v>
      </c>
      <c r="AL34" s="4">
        <v>102</v>
      </c>
      <c r="AM34" s="1">
        <v>0.47689411872430998</v>
      </c>
      <c r="AN34" s="2">
        <v>3.64225775292241E-2</v>
      </c>
      <c r="AO34" s="2">
        <v>9.6659642372454203E-3</v>
      </c>
      <c r="AP34" s="2">
        <v>0.41176470588235298</v>
      </c>
      <c r="AQ34" s="4">
        <v>178</v>
      </c>
      <c r="AR34" s="1">
        <v>0.75500752364873103</v>
      </c>
      <c r="AS34" s="2">
        <v>1.1069326127421401E-2</v>
      </c>
      <c r="AT34" s="2">
        <v>-3.8442377461233002E-3</v>
      </c>
      <c r="AU34" s="2">
        <v>0.32022471910112399</v>
      </c>
      <c r="AV34" s="4">
        <v>178</v>
      </c>
      <c r="AW34" s="1">
        <v>-0.204894652071927</v>
      </c>
      <c r="AX34" s="2">
        <v>1.61421220644704E-2</v>
      </c>
      <c r="AY34" s="2">
        <v>5.2082489086540101E-3</v>
      </c>
      <c r="AZ34" s="2">
        <v>0.67977528089887596</v>
      </c>
    </row>
    <row r="35" spans="1:52" ht="28.8" x14ac:dyDescent="0.3">
      <c r="A35" s="1" t="s">
        <v>159</v>
      </c>
      <c r="B35" s="1" t="s">
        <v>159</v>
      </c>
      <c r="C35" s="1" t="s">
        <v>160</v>
      </c>
      <c r="D35" s="2">
        <v>5.0000000000000001E-3</v>
      </c>
      <c r="E35" s="1" t="b">
        <v>0</v>
      </c>
      <c r="F35" s="1" t="b">
        <v>1</v>
      </c>
      <c r="G35" s="1" t="b">
        <v>1</v>
      </c>
      <c r="H35" s="1"/>
      <c r="I35" s="1" t="b">
        <v>1</v>
      </c>
      <c r="J35" s="1"/>
      <c r="K35" s="3">
        <v>37315</v>
      </c>
      <c r="L35" s="3">
        <v>46203</v>
      </c>
      <c r="M35" s="4">
        <v>6114</v>
      </c>
      <c r="N35" s="3">
        <v>37316</v>
      </c>
      <c r="O35" s="3">
        <v>46174</v>
      </c>
      <c r="P35" s="4">
        <v>292</v>
      </c>
      <c r="Q35" s="4">
        <v>5</v>
      </c>
      <c r="R35" s="2">
        <v>5.92515724831122E-3</v>
      </c>
      <c r="S35" s="2">
        <v>0.78082191780821897</v>
      </c>
      <c r="T35" s="2">
        <v>0.696864111498258</v>
      </c>
      <c r="U35" s="4">
        <v>257</v>
      </c>
      <c r="V35" s="2">
        <v>0.76653696498054502</v>
      </c>
      <c r="W35" s="2">
        <v>2.14801715614064E-2</v>
      </c>
      <c r="X35" s="2">
        <v>-2.4447344511079199E-2</v>
      </c>
      <c r="Y35" s="2">
        <v>-1.72045453373398E-2</v>
      </c>
      <c r="Z35" s="1">
        <v>-2.15279407981732E-2</v>
      </c>
      <c r="AA35" s="2">
        <v>-5.1259975189644799E-2</v>
      </c>
      <c r="AB35" s="4">
        <v>10</v>
      </c>
      <c r="AC35" s="1">
        <v>0.26340623992788997</v>
      </c>
      <c r="AD35" s="1">
        <v>0.205873291723844</v>
      </c>
      <c r="AE35" s="1">
        <v>0.79334963312111995</v>
      </c>
      <c r="AF35" s="1" t="s">
        <v>148</v>
      </c>
      <c r="AG35" s="4">
        <v>59</v>
      </c>
      <c r="AH35" s="1" t="s">
        <v>73</v>
      </c>
      <c r="AI35" s="2">
        <v>2.2814719771690899E-2</v>
      </c>
      <c r="AJ35" s="1" t="s">
        <v>144</v>
      </c>
      <c r="AK35" s="1">
        <v>0.302896224935023</v>
      </c>
      <c r="AL35" s="4">
        <v>102</v>
      </c>
      <c r="AM35" s="1">
        <v>0.302896224935023</v>
      </c>
      <c r="AN35" s="2">
        <v>4.5783718018774601E-2</v>
      </c>
      <c r="AO35" s="2">
        <v>2.03236129227422E-2</v>
      </c>
      <c r="AP35" s="2">
        <v>0.35294117647058798</v>
      </c>
      <c r="AQ35" s="4">
        <v>210</v>
      </c>
      <c r="AR35" s="1">
        <v>0.225444373178566</v>
      </c>
      <c r="AS35" s="2">
        <v>2.6672816692264401E-2</v>
      </c>
      <c r="AT35" s="2">
        <v>-4.2943661556160704E-3</v>
      </c>
      <c r="AU35" s="2">
        <v>0.185714285714286</v>
      </c>
      <c r="AV35" s="4">
        <v>292</v>
      </c>
      <c r="AW35" s="1">
        <v>-5.2712474765137804E-3</v>
      </c>
      <c r="AX35" s="2">
        <v>2.2814719771690899E-2</v>
      </c>
      <c r="AY35" s="2">
        <v>1.5671811739677E-3</v>
      </c>
      <c r="AZ35" s="2">
        <v>0.51027397260273999</v>
      </c>
    </row>
    <row r="36" spans="1:52" ht="28.8" x14ac:dyDescent="0.3">
      <c r="A36" s="1" t="s">
        <v>136</v>
      </c>
      <c r="B36" s="1" t="s">
        <v>161</v>
      </c>
      <c r="C36" s="1" t="s">
        <v>162</v>
      </c>
      <c r="D36" s="2">
        <v>4.0000000000000001E-3</v>
      </c>
      <c r="E36" s="1" t="b">
        <v>0</v>
      </c>
      <c r="F36" s="1" t="b">
        <v>1</v>
      </c>
      <c r="G36" s="1" t="b">
        <v>1</v>
      </c>
      <c r="H36" s="1"/>
      <c r="I36" s="1" t="b">
        <v>1</v>
      </c>
      <c r="J36" s="1"/>
      <c r="K36" s="3">
        <v>42004</v>
      </c>
      <c r="L36" s="3">
        <v>46203</v>
      </c>
      <c r="M36" s="4">
        <v>2883</v>
      </c>
      <c r="N36" s="3">
        <v>42005</v>
      </c>
      <c r="O36" s="3">
        <v>46174</v>
      </c>
      <c r="P36" s="4">
        <v>138</v>
      </c>
      <c r="Q36" s="4">
        <v>1</v>
      </c>
      <c r="R36" s="2">
        <v>5.7123384506463397E-3</v>
      </c>
      <c r="S36" s="2">
        <v>0.84782608695652195</v>
      </c>
      <c r="T36" s="2">
        <v>0.90225563909774398</v>
      </c>
      <c r="U36" s="4">
        <v>103</v>
      </c>
      <c r="V36" s="2">
        <v>0.80582524271844702</v>
      </c>
      <c r="W36" s="2">
        <v>9.6619173537263597E-3</v>
      </c>
      <c r="X36" s="2">
        <v>-2.8757367121927401E-2</v>
      </c>
      <c r="Y36" s="2">
        <v>-1.2550737102426299E-2</v>
      </c>
      <c r="Z36" s="1">
        <v>0.20843877182201601</v>
      </c>
      <c r="AA36" s="2">
        <v>-3.8312121119175799E-2</v>
      </c>
      <c r="AB36" s="4">
        <v>22</v>
      </c>
      <c r="AC36" s="1">
        <v>0.70975360685112998</v>
      </c>
      <c r="AD36" s="1">
        <v>0.73929336669078205</v>
      </c>
      <c r="AE36" s="1">
        <v>0.97285999599388495</v>
      </c>
      <c r="AF36" s="1" t="s">
        <v>133</v>
      </c>
      <c r="AG36" s="4">
        <v>39</v>
      </c>
      <c r="AH36" s="1" t="s">
        <v>73</v>
      </c>
      <c r="AI36" s="2">
        <v>1.14157435034933E-2</v>
      </c>
      <c r="AJ36" s="1" t="s">
        <v>56</v>
      </c>
      <c r="AK36" s="1">
        <v>0.87107504909001598</v>
      </c>
      <c r="AL36" s="4">
        <v>102</v>
      </c>
      <c r="AM36" s="1">
        <v>0.58215549063887495</v>
      </c>
      <c r="AN36" s="2">
        <v>3.6154664801388701E-2</v>
      </c>
      <c r="AO36" s="2">
        <v>1.00158208595233E-2</v>
      </c>
      <c r="AP36" s="2">
        <v>0.34313725490196101</v>
      </c>
      <c r="AQ36" s="4">
        <v>138</v>
      </c>
      <c r="AR36" s="1">
        <v>0.87107504909001598</v>
      </c>
      <c r="AS36" s="2">
        <v>1.16925302539E-2</v>
      </c>
      <c r="AT36" s="2">
        <v>-4.3067391481186297E-3</v>
      </c>
      <c r="AU36" s="2">
        <v>0.231884057971014</v>
      </c>
      <c r="AV36" s="4">
        <v>138</v>
      </c>
      <c r="AW36" s="1">
        <v>-0.114397781516692</v>
      </c>
      <c r="AX36" s="2">
        <v>1.14157435034933E-2</v>
      </c>
      <c r="AY36" s="2">
        <v>4.7184601258096802E-3</v>
      </c>
      <c r="AZ36" s="2">
        <v>0.65217391304347805</v>
      </c>
    </row>
    <row r="37" spans="1:52" ht="28.8" x14ac:dyDescent="0.3">
      <c r="A37" s="1" t="s">
        <v>163</v>
      </c>
      <c r="B37" s="1" t="s">
        <v>164</v>
      </c>
      <c r="C37" s="1" t="s">
        <v>165</v>
      </c>
      <c r="D37" s="2">
        <v>5.0000000000000001E-3</v>
      </c>
      <c r="E37" s="1" t="b">
        <v>0</v>
      </c>
      <c r="F37" s="1" t="b">
        <v>1</v>
      </c>
      <c r="G37" s="1" t="b">
        <v>1</v>
      </c>
      <c r="H37" s="1"/>
      <c r="I37" s="1" t="b">
        <v>1</v>
      </c>
      <c r="J37" s="1"/>
      <c r="K37" s="3">
        <v>39832</v>
      </c>
      <c r="L37" s="3">
        <v>46203</v>
      </c>
      <c r="M37" s="4">
        <v>4380</v>
      </c>
      <c r="N37" s="3">
        <v>39845</v>
      </c>
      <c r="O37" s="3">
        <v>46174</v>
      </c>
      <c r="P37" s="4">
        <v>209</v>
      </c>
      <c r="Q37" s="4">
        <v>1</v>
      </c>
      <c r="R37" s="2">
        <v>5.5825902062469597E-3</v>
      </c>
      <c r="S37" s="2">
        <v>0.88995215311004805</v>
      </c>
      <c r="T37" s="2">
        <v>0.87745098039215697</v>
      </c>
      <c r="U37" s="4">
        <v>174</v>
      </c>
      <c r="V37" s="2">
        <v>0.96551724137931005</v>
      </c>
      <c r="W37" s="2">
        <v>1.12772805547471E-2</v>
      </c>
      <c r="X37" s="2">
        <v>-3.0562276658677098E-2</v>
      </c>
      <c r="Y37" s="2">
        <v>-2.0142677428424401E-2</v>
      </c>
      <c r="Z37" s="1">
        <v>0.44451772480782997</v>
      </c>
      <c r="AA37" s="2">
        <v>-4.7793512975684599E-2</v>
      </c>
      <c r="AB37" s="4">
        <v>9</v>
      </c>
      <c r="AC37" s="1">
        <v>0.74260610049989495</v>
      </c>
      <c r="AD37" s="1">
        <v>0.79082742180450405</v>
      </c>
      <c r="AE37" s="1">
        <v>0.90914053967939001</v>
      </c>
      <c r="AF37" s="1" t="s">
        <v>94</v>
      </c>
      <c r="AG37" s="4">
        <v>118</v>
      </c>
      <c r="AH37" s="1" t="s">
        <v>56</v>
      </c>
      <c r="AI37" s="2">
        <v>8.9607996908776001E-3</v>
      </c>
      <c r="AJ37" s="1" t="s">
        <v>56</v>
      </c>
      <c r="AK37" s="1">
        <v>0.82664102122974104</v>
      </c>
      <c r="AL37" s="4">
        <v>102</v>
      </c>
      <c r="AM37" s="1">
        <v>0.66666495851477703</v>
      </c>
      <c r="AN37" s="2">
        <v>3.2943524135806902E-2</v>
      </c>
      <c r="AO37" s="2">
        <v>9.5788619676473504E-3</v>
      </c>
      <c r="AP37" s="2">
        <v>0.34313725490196101</v>
      </c>
      <c r="AQ37" s="4">
        <v>209</v>
      </c>
      <c r="AR37" s="1">
        <v>0.82664102122974104</v>
      </c>
      <c r="AS37" s="2">
        <v>8.9607996908776001E-3</v>
      </c>
      <c r="AT37" s="2">
        <v>-6.3100561820262904E-3</v>
      </c>
      <c r="AU37" s="2">
        <v>0.18181818181818199</v>
      </c>
      <c r="AV37" s="4">
        <v>209</v>
      </c>
      <c r="AW37" s="1">
        <v>-9.0741185587850604E-2</v>
      </c>
      <c r="AX37" s="2">
        <v>1.2809277205969499E-2</v>
      </c>
      <c r="AY37" s="2">
        <v>3.3456716410567001E-3</v>
      </c>
      <c r="AZ37" s="2">
        <v>0.61244019138756001</v>
      </c>
    </row>
    <row r="38" spans="1:52" ht="28.8" x14ac:dyDescent="0.3">
      <c r="A38" s="1" t="s">
        <v>158</v>
      </c>
      <c r="B38" s="1" t="s">
        <v>166</v>
      </c>
      <c r="C38" s="1" t="s">
        <v>167</v>
      </c>
      <c r="D38" s="2">
        <v>2.5000000000000001E-3</v>
      </c>
      <c r="E38" s="1" t="b">
        <v>0</v>
      </c>
      <c r="F38" s="1" t="b">
        <v>1</v>
      </c>
      <c r="G38" s="1" t="b">
        <v>1</v>
      </c>
      <c r="H38" s="1"/>
      <c r="I38" s="1" t="b">
        <v>1</v>
      </c>
      <c r="J38" s="1"/>
      <c r="K38" s="3">
        <v>43343</v>
      </c>
      <c r="L38" s="3">
        <v>46203</v>
      </c>
      <c r="M38" s="4">
        <v>1964</v>
      </c>
      <c r="N38" s="3">
        <v>43344</v>
      </c>
      <c r="O38" s="3">
        <v>46174</v>
      </c>
      <c r="P38" s="4">
        <v>94</v>
      </c>
      <c r="Q38" s="4">
        <v>1</v>
      </c>
      <c r="R38" s="2">
        <v>5.5530382228334797E-3</v>
      </c>
      <c r="S38" s="2">
        <v>0.75531914893617003</v>
      </c>
      <c r="T38" s="2">
        <v>0.74157303370786498</v>
      </c>
      <c r="U38" s="4">
        <v>59</v>
      </c>
      <c r="V38" s="2">
        <v>0.91525423728813604</v>
      </c>
      <c r="W38" s="2">
        <v>1.9349258077634501E-2</v>
      </c>
      <c r="X38" s="2">
        <v>-4.1253284289388702E-2</v>
      </c>
      <c r="Y38" s="2">
        <v>-2.3088381196805001E-2</v>
      </c>
      <c r="Z38" s="1">
        <v>0.377731220151236</v>
      </c>
      <c r="AA38" s="2">
        <v>-7.0098395189480897E-2</v>
      </c>
      <c r="AB38" s="4">
        <v>21</v>
      </c>
      <c r="AC38" s="1">
        <v>0.69697206080811502</v>
      </c>
      <c r="AD38" s="1">
        <v>0.76968966306103903</v>
      </c>
      <c r="AE38" s="1">
        <v>0.97045917221098499</v>
      </c>
      <c r="AF38" s="1" t="s">
        <v>155</v>
      </c>
      <c r="AG38" s="4">
        <v>94</v>
      </c>
      <c r="AH38" s="1" t="s">
        <v>56</v>
      </c>
      <c r="AI38" s="2">
        <v>1.44909515157596E-2</v>
      </c>
      <c r="AJ38" s="1" t="s">
        <v>56</v>
      </c>
      <c r="AK38" s="1">
        <v>0.77511635196032103</v>
      </c>
      <c r="AL38" s="4">
        <v>94</v>
      </c>
      <c r="AM38" s="1">
        <v>0.49841180234863097</v>
      </c>
      <c r="AN38" s="2">
        <v>3.7459467701692797E-2</v>
      </c>
      <c r="AO38" s="2">
        <v>1.1367808065149801E-2</v>
      </c>
      <c r="AP38" s="2">
        <v>0.38297872340425498</v>
      </c>
      <c r="AQ38" s="4">
        <v>94</v>
      </c>
      <c r="AR38" s="1">
        <v>0.77511635196032103</v>
      </c>
      <c r="AS38" s="2">
        <v>1.44909515157596E-2</v>
      </c>
      <c r="AT38" s="2">
        <v>-3.6742281125420298E-3</v>
      </c>
      <c r="AU38" s="2">
        <v>0.340425531914894</v>
      </c>
      <c r="AV38" s="4">
        <v>94</v>
      </c>
      <c r="AW38" s="1">
        <v>-0.27678292256857001</v>
      </c>
      <c r="AX38" s="2">
        <v>2.1390078707391E-2</v>
      </c>
      <c r="AY38" s="2">
        <v>5.8715184987201399E-3</v>
      </c>
      <c r="AZ38" s="2">
        <v>0.70212765957446799</v>
      </c>
    </row>
    <row r="39" spans="1:52" ht="28.8" x14ac:dyDescent="0.3">
      <c r="A39" s="1" t="s">
        <v>168</v>
      </c>
      <c r="B39" s="1" t="s">
        <v>169</v>
      </c>
      <c r="C39" s="1" t="s">
        <v>170</v>
      </c>
      <c r="D39" s="2">
        <v>5.0000000000000001E-3</v>
      </c>
      <c r="E39" s="1" t="b">
        <v>0</v>
      </c>
      <c r="F39" s="1" t="b">
        <v>1</v>
      </c>
      <c r="G39" s="1" t="b">
        <v>1</v>
      </c>
      <c r="H39" s="1"/>
      <c r="I39" s="1" t="b">
        <v>1</v>
      </c>
      <c r="J39" s="1"/>
      <c r="K39" s="3">
        <v>40121</v>
      </c>
      <c r="L39" s="3">
        <v>46203</v>
      </c>
      <c r="M39" s="4">
        <v>4182</v>
      </c>
      <c r="N39" s="3">
        <v>40118</v>
      </c>
      <c r="O39" s="3">
        <v>46174</v>
      </c>
      <c r="P39" s="4">
        <v>200</v>
      </c>
      <c r="Q39" s="4">
        <v>1</v>
      </c>
      <c r="R39" s="2">
        <v>4.4882212449950396E-3</v>
      </c>
      <c r="S39" s="2">
        <v>0.79</v>
      </c>
      <c r="T39" s="2">
        <v>0.77948717948717905</v>
      </c>
      <c r="U39" s="4">
        <v>165</v>
      </c>
      <c r="V39" s="2">
        <v>0.84848484848484895</v>
      </c>
      <c r="W39" s="2">
        <v>1.0279731284525201E-2</v>
      </c>
      <c r="X39" s="2">
        <v>-2.6621536143166799E-2</v>
      </c>
      <c r="Y39" s="2">
        <v>-1.8164782216881399E-2</v>
      </c>
      <c r="Z39" s="1">
        <v>0.44895494663497598</v>
      </c>
      <c r="AA39" s="2">
        <v>-4.6508134918707901E-2</v>
      </c>
      <c r="AB39" s="4">
        <v>18</v>
      </c>
      <c r="AC39" s="1">
        <v>0.72644136001445803</v>
      </c>
      <c r="AD39" s="1">
        <v>0.80266849366506199</v>
      </c>
      <c r="AE39" s="1">
        <v>0.94222400312555099</v>
      </c>
      <c r="AF39" s="1" t="s">
        <v>94</v>
      </c>
      <c r="AG39" s="4">
        <v>118</v>
      </c>
      <c r="AH39" s="1" t="s">
        <v>56</v>
      </c>
      <c r="AI39" s="2">
        <v>1.07811596644053E-2</v>
      </c>
      <c r="AJ39" s="1" t="s">
        <v>56</v>
      </c>
      <c r="AK39" s="1">
        <v>0.74135671075915999</v>
      </c>
      <c r="AL39" s="4">
        <v>102</v>
      </c>
      <c r="AM39" s="1">
        <v>0.62332747223191698</v>
      </c>
      <c r="AN39" s="2">
        <v>3.4627625653544498E-2</v>
      </c>
      <c r="AO39" s="2">
        <v>8.1869155538221196E-3</v>
      </c>
      <c r="AP39" s="2">
        <v>0.34313725490196101</v>
      </c>
      <c r="AQ39" s="4">
        <v>200</v>
      </c>
      <c r="AR39" s="1">
        <v>0.74135671075915999</v>
      </c>
      <c r="AS39" s="2">
        <v>1.07811596644053E-2</v>
      </c>
      <c r="AT39" s="2">
        <v>-6.3182239230640301E-3</v>
      </c>
      <c r="AU39" s="2">
        <v>0.27500000000000002</v>
      </c>
      <c r="AV39" s="4">
        <v>200</v>
      </c>
      <c r="AW39" s="1">
        <v>-8.0693229824349302E-2</v>
      </c>
      <c r="AX39" s="2">
        <v>1.185197815444E-2</v>
      </c>
      <c r="AY39" s="2">
        <v>2.7397479275235201E-3</v>
      </c>
      <c r="AZ39" s="2">
        <v>0.65500000000000003</v>
      </c>
    </row>
    <row r="40" spans="1:52" x14ac:dyDescent="0.3">
      <c r="A40" s="1" t="s">
        <v>171</v>
      </c>
      <c r="B40" s="1" t="s">
        <v>172</v>
      </c>
      <c r="C40" s="1" t="s">
        <v>173</v>
      </c>
      <c r="D40" s="2">
        <v>5.0000000000000001E-3</v>
      </c>
      <c r="E40" s="1" t="b">
        <v>0</v>
      </c>
      <c r="F40" s="1" t="b">
        <v>1</v>
      </c>
      <c r="G40" s="1" t="b">
        <v>1</v>
      </c>
      <c r="H40" s="1"/>
      <c r="I40" s="1" t="b">
        <v>1</v>
      </c>
      <c r="J40" s="1"/>
      <c r="K40" s="3">
        <v>44501</v>
      </c>
      <c r="L40" s="3">
        <v>46203</v>
      </c>
      <c r="M40" s="4">
        <v>1170</v>
      </c>
      <c r="N40" s="3">
        <v>44501</v>
      </c>
      <c r="O40" s="3">
        <v>46174</v>
      </c>
      <c r="P40" s="4">
        <v>56</v>
      </c>
      <c r="Q40" s="4">
        <v>5</v>
      </c>
      <c r="R40" s="2">
        <v>4.1249068278288404E-3</v>
      </c>
      <c r="S40" s="2">
        <v>0.73214285714285698</v>
      </c>
      <c r="T40" s="2">
        <v>0.60784313725490202</v>
      </c>
      <c r="U40" s="4">
        <v>21</v>
      </c>
      <c r="V40" s="2">
        <v>0.80952380952380998</v>
      </c>
      <c r="W40" s="2">
        <v>1.1755080651530201E-2</v>
      </c>
      <c r="X40" s="2">
        <v>-1.78405000246975E-2</v>
      </c>
      <c r="Y40" s="2">
        <v>-9.9677502742507498E-3</v>
      </c>
      <c r="Z40" s="1">
        <v>0.281394024389715</v>
      </c>
      <c r="AA40" s="2">
        <v>-3.0505516576453801E-2</v>
      </c>
      <c r="AB40" s="4">
        <v>21</v>
      </c>
      <c r="AC40" s="1">
        <v>0.48548630642794999</v>
      </c>
      <c r="AD40" s="1">
        <v>0.42426618720910497</v>
      </c>
      <c r="AE40" s="1">
        <v>0.80083842370837999</v>
      </c>
      <c r="AF40" s="1" t="s">
        <v>98</v>
      </c>
      <c r="AG40" s="4">
        <v>56</v>
      </c>
      <c r="AH40" s="1" t="s">
        <v>56</v>
      </c>
      <c r="AI40" s="2">
        <v>1.0299469442430299E-2</v>
      </c>
      <c r="AJ40" s="1" t="s">
        <v>144</v>
      </c>
      <c r="AK40" s="1">
        <v>0.86196304283940794</v>
      </c>
      <c r="AL40" s="4">
        <v>56</v>
      </c>
      <c r="AM40" s="1">
        <v>0.86196304283940794</v>
      </c>
      <c r="AN40" s="2">
        <v>3.4689151882403201E-2</v>
      </c>
      <c r="AO40" s="2">
        <v>1.90265060422583E-2</v>
      </c>
      <c r="AP40" s="2">
        <v>0.44642857142857101</v>
      </c>
      <c r="AQ40" s="4">
        <v>56</v>
      </c>
      <c r="AR40" s="1">
        <v>0.67172306782913405</v>
      </c>
      <c r="AS40" s="2">
        <v>1.0299469442430299E-2</v>
      </c>
      <c r="AT40" s="2">
        <v>-6.4369690546688396E-3</v>
      </c>
      <c r="AU40" s="2">
        <v>0.33928571428571402</v>
      </c>
      <c r="AV40" s="4">
        <v>56</v>
      </c>
      <c r="AW40" s="1">
        <v>2.4034248830801699E-2</v>
      </c>
      <c r="AX40" s="2">
        <v>1.2176020233605299E-2</v>
      </c>
      <c r="AY40" s="2">
        <v>6.1107254944428001E-3</v>
      </c>
      <c r="AZ40" s="2">
        <v>0.73214285714285698</v>
      </c>
    </row>
    <row r="41" spans="1:52" ht="28.8" x14ac:dyDescent="0.3">
      <c r="A41" s="1" t="s">
        <v>60</v>
      </c>
      <c r="B41" s="1" t="s">
        <v>174</v>
      </c>
      <c r="C41" s="1" t="s">
        <v>175</v>
      </c>
      <c r="D41" s="2">
        <v>5.0000000000000001E-3</v>
      </c>
      <c r="E41" s="1" t="b">
        <v>0</v>
      </c>
      <c r="F41" s="1" t="b">
        <v>1</v>
      </c>
      <c r="G41" s="1" t="b">
        <v>1</v>
      </c>
      <c r="H41" s="1"/>
      <c r="I41" s="1" t="b">
        <v>1</v>
      </c>
      <c r="J41" s="1"/>
      <c r="K41" s="3">
        <v>41540</v>
      </c>
      <c r="L41" s="3">
        <v>46203</v>
      </c>
      <c r="M41" s="4">
        <v>3205</v>
      </c>
      <c r="N41" s="3">
        <v>41548</v>
      </c>
      <c r="O41" s="3">
        <v>46174</v>
      </c>
      <c r="P41" s="4">
        <v>153</v>
      </c>
      <c r="Q41" s="4">
        <v>1</v>
      </c>
      <c r="R41" s="2">
        <v>3.72435757265399E-3</v>
      </c>
      <c r="S41" s="2">
        <v>0.84967320261437895</v>
      </c>
      <c r="T41" s="2">
        <v>0.81081081081081097</v>
      </c>
      <c r="U41" s="4">
        <v>118</v>
      </c>
      <c r="V41" s="2">
        <v>0.69491525423728795</v>
      </c>
      <c r="W41" s="2">
        <v>1.6469760109150699E-2</v>
      </c>
      <c r="X41" s="2">
        <v>-5.2444417272143301E-2</v>
      </c>
      <c r="Y41" s="2">
        <v>-2.4467219087055202E-2</v>
      </c>
      <c r="Z41" s="1">
        <v>0.33601892452471599</v>
      </c>
      <c r="AA41" s="2">
        <v>-7.2342578536391006E-2</v>
      </c>
      <c r="AB41" s="4">
        <v>47</v>
      </c>
      <c r="AC41" s="1">
        <v>0.76095358903168198</v>
      </c>
      <c r="AD41" s="1">
        <v>0.80451669503452705</v>
      </c>
      <c r="AE41" s="1">
        <v>0.94977442853526095</v>
      </c>
      <c r="AF41" s="1" t="s">
        <v>68</v>
      </c>
      <c r="AG41" s="4">
        <v>79</v>
      </c>
      <c r="AH41" s="1" t="s">
        <v>56</v>
      </c>
      <c r="AI41" s="2">
        <v>8.5274503416976292E-3</v>
      </c>
      <c r="AJ41" s="1" t="s">
        <v>56</v>
      </c>
      <c r="AK41" s="1">
        <v>0.88045362208254097</v>
      </c>
      <c r="AL41" s="4">
        <v>102</v>
      </c>
      <c r="AM41" s="1">
        <v>0.59038245348708895</v>
      </c>
      <c r="AN41" s="2">
        <v>3.3754998134450001E-2</v>
      </c>
      <c r="AO41" s="2">
        <v>6.5216489627768501E-3</v>
      </c>
      <c r="AP41" s="2">
        <v>0.32352941176470601</v>
      </c>
      <c r="AQ41" s="4">
        <v>153</v>
      </c>
      <c r="AR41" s="1">
        <v>0.88045362208254097</v>
      </c>
      <c r="AS41" s="2">
        <v>8.5274503416976292E-3</v>
      </c>
      <c r="AT41" s="2">
        <v>-6.35306409610181E-3</v>
      </c>
      <c r="AU41" s="2">
        <v>0.24836601307189499</v>
      </c>
      <c r="AV41" s="4">
        <v>153</v>
      </c>
      <c r="AW41" s="1">
        <v>-0.15073177840378599</v>
      </c>
      <c r="AX41" s="2">
        <v>1.7925040417351101E-2</v>
      </c>
      <c r="AY41" s="2">
        <v>2.9994685741701098E-3</v>
      </c>
      <c r="AZ41" s="2">
        <v>0.67973856209150296</v>
      </c>
    </row>
    <row r="42" spans="1:52" x14ac:dyDescent="0.3">
      <c r="A42" s="1" t="s">
        <v>126</v>
      </c>
      <c r="B42" s="1" t="s">
        <v>176</v>
      </c>
      <c r="C42" s="1" t="s">
        <v>177</v>
      </c>
      <c r="D42" s="2">
        <v>5.0000000000000001E-3</v>
      </c>
      <c r="E42" s="1" t="b">
        <v>0</v>
      </c>
      <c r="F42" s="1" t="b">
        <v>1</v>
      </c>
      <c r="G42" s="1" t="b">
        <v>1</v>
      </c>
      <c r="H42" s="1"/>
      <c r="I42" s="1" t="b">
        <v>1</v>
      </c>
      <c r="J42" s="1"/>
      <c r="K42" s="3">
        <v>43188</v>
      </c>
      <c r="L42" s="3">
        <v>46203</v>
      </c>
      <c r="M42" s="4">
        <v>2072</v>
      </c>
      <c r="N42" s="3">
        <v>43191</v>
      </c>
      <c r="O42" s="3">
        <v>46174</v>
      </c>
      <c r="P42" s="4">
        <v>99</v>
      </c>
      <c r="Q42" s="4">
        <v>1</v>
      </c>
      <c r="R42" s="2">
        <v>3.2434756986952102E-3</v>
      </c>
      <c r="S42" s="2">
        <v>0.75757575757575801</v>
      </c>
      <c r="T42" s="2">
        <v>0.69148936170212805</v>
      </c>
      <c r="U42" s="4">
        <v>64</v>
      </c>
      <c r="V42" s="2">
        <v>0.78125</v>
      </c>
      <c r="W42" s="2">
        <v>1.9018743053527701E-2</v>
      </c>
      <c r="X42" s="2">
        <v>-3.2748942887779298E-2</v>
      </c>
      <c r="Y42" s="2">
        <v>-2.6103919920710501E-2</v>
      </c>
      <c r="Z42" s="1">
        <v>0.50219954036167902</v>
      </c>
      <c r="AA42" s="2">
        <v>-5.9645473694926898E-2</v>
      </c>
      <c r="AB42" s="4">
        <v>24</v>
      </c>
      <c r="AC42" s="1">
        <v>0.70204825729759801</v>
      </c>
      <c r="AD42" s="1">
        <v>0.77948585666972703</v>
      </c>
      <c r="AE42" s="1">
        <v>0.93346896512002797</v>
      </c>
      <c r="AF42" s="1" t="s">
        <v>94</v>
      </c>
      <c r="AG42" s="4">
        <v>99</v>
      </c>
      <c r="AH42" s="1" t="s">
        <v>56</v>
      </c>
      <c r="AI42" s="2">
        <v>1.40208925480676E-2</v>
      </c>
      <c r="AJ42" s="1" t="s">
        <v>56</v>
      </c>
      <c r="AK42" s="1">
        <v>0.78267529744050401</v>
      </c>
      <c r="AL42" s="4">
        <v>99</v>
      </c>
      <c r="AM42" s="1">
        <v>0.70590329226140103</v>
      </c>
      <c r="AN42" s="2">
        <v>3.1200485429777401E-2</v>
      </c>
      <c r="AO42" s="2">
        <v>8.1981098495325106E-3</v>
      </c>
      <c r="AP42" s="2">
        <v>0.52525252525252497</v>
      </c>
      <c r="AQ42" s="4">
        <v>99</v>
      </c>
      <c r="AR42" s="1">
        <v>0.78267529744050401</v>
      </c>
      <c r="AS42" s="2">
        <v>1.40208925480676E-2</v>
      </c>
      <c r="AT42" s="2">
        <v>-5.7977155531632203E-3</v>
      </c>
      <c r="AU42" s="2">
        <v>0.49494949494949497</v>
      </c>
      <c r="AV42" s="4">
        <v>99</v>
      </c>
      <c r="AW42" s="1">
        <v>-0.198211606196076</v>
      </c>
      <c r="AX42" s="2">
        <v>2.0699190525860899E-2</v>
      </c>
      <c r="AY42" s="2">
        <v>3.9249638179912304E-3</v>
      </c>
      <c r="AZ42" s="2">
        <v>0.70707070707070696</v>
      </c>
    </row>
    <row r="43" spans="1:52" ht="28.8" x14ac:dyDescent="0.3">
      <c r="A43" s="1" t="s">
        <v>94</v>
      </c>
      <c r="B43" s="1" t="s">
        <v>178</v>
      </c>
      <c r="C43" s="1" t="s">
        <v>179</v>
      </c>
      <c r="D43" s="2">
        <v>3.0999999999999999E-3</v>
      </c>
      <c r="E43" s="1" t="b">
        <v>0</v>
      </c>
      <c r="F43" s="1" t="b">
        <v>1</v>
      </c>
      <c r="G43" s="1" t="b">
        <v>1</v>
      </c>
      <c r="H43" s="1"/>
      <c r="I43" s="1" t="b">
        <v>1</v>
      </c>
      <c r="J43" s="1"/>
      <c r="K43" s="3">
        <v>42608</v>
      </c>
      <c r="L43" s="3">
        <v>46203</v>
      </c>
      <c r="M43" s="4">
        <v>2468</v>
      </c>
      <c r="N43" s="3">
        <v>42614</v>
      </c>
      <c r="O43" s="3">
        <v>46174</v>
      </c>
      <c r="P43" s="4">
        <v>118</v>
      </c>
      <c r="Q43" s="4">
        <v>1</v>
      </c>
      <c r="R43" s="2">
        <v>2.73341331819976E-3</v>
      </c>
      <c r="S43" s="2">
        <v>0.77118644067796605</v>
      </c>
      <c r="T43" s="2">
        <v>0.71681415929203496</v>
      </c>
      <c r="U43" s="4">
        <v>83</v>
      </c>
      <c r="V43" s="2">
        <v>0.80722891566265098</v>
      </c>
      <c r="W43" s="2">
        <v>1.22088996513182E-2</v>
      </c>
      <c r="X43" s="2">
        <v>-2.8195389424590701E-2</v>
      </c>
      <c r="Y43" s="2">
        <v>-1.7661197510049902E-2</v>
      </c>
      <c r="Z43" s="1">
        <v>0.43963192195681</v>
      </c>
      <c r="AA43" s="2">
        <v>-4.4759887488435998E-2</v>
      </c>
      <c r="AB43" s="4">
        <v>23</v>
      </c>
      <c r="AC43" s="1">
        <v>0.77177768980943395</v>
      </c>
      <c r="AD43" s="1">
        <v>0.86154025209298501</v>
      </c>
      <c r="AE43" s="1">
        <v>0.94824020048132596</v>
      </c>
      <c r="AF43" s="1" t="s">
        <v>68</v>
      </c>
      <c r="AG43" s="4">
        <v>79</v>
      </c>
      <c r="AH43" s="1" t="s">
        <v>56</v>
      </c>
      <c r="AI43" s="2">
        <v>1.1344320217214701E-2</v>
      </c>
      <c r="AJ43" s="1" t="s">
        <v>56</v>
      </c>
      <c r="AK43" s="1">
        <v>0.88342392703457695</v>
      </c>
      <c r="AL43" s="4">
        <v>102</v>
      </c>
      <c r="AM43" s="1">
        <v>0.72404443589273104</v>
      </c>
      <c r="AN43" s="2">
        <v>3.3041934300831299E-2</v>
      </c>
      <c r="AO43" s="2">
        <v>7.8564932938858193E-3</v>
      </c>
      <c r="AP43" s="2">
        <v>0.38235294117647101</v>
      </c>
      <c r="AQ43" s="4">
        <v>118</v>
      </c>
      <c r="AR43" s="1">
        <v>0.88342392703457695</v>
      </c>
      <c r="AS43" s="2">
        <v>1.1344320217214701E-2</v>
      </c>
      <c r="AT43" s="2">
        <v>-7.3793074310251096E-3</v>
      </c>
      <c r="AU43" s="2">
        <v>0.24576271186440701</v>
      </c>
      <c r="AV43" s="4">
        <v>118</v>
      </c>
      <c r="AW43" s="1">
        <v>-0.15802364907279701</v>
      </c>
      <c r="AX43" s="2">
        <v>1.3906855379571899E-2</v>
      </c>
      <c r="AY43" s="2">
        <v>1.9511169567041401E-3</v>
      </c>
      <c r="AZ43" s="2">
        <v>0.61864406779660996</v>
      </c>
    </row>
    <row r="44" spans="1:52" ht="28.8" x14ac:dyDescent="0.3">
      <c r="A44" s="1" t="s">
        <v>180</v>
      </c>
      <c r="B44" s="1" t="s">
        <v>181</v>
      </c>
      <c r="C44" s="1" t="s">
        <v>182</v>
      </c>
      <c r="D44" s="2">
        <v>6.4000000000000003E-3</v>
      </c>
      <c r="E44" s="1" t="b">
        <v>0</v>
      </c>
      <c r="F44" s="1" t="b">
        <v>1</v>
      </c>
      <c r="G44" s="1" t="b">
        <v>1</v>
      </c>
      <c r="H44" s="1"/>
      <c r="I44" s="1" t="b">
        <v>1</v>
      </c>
      <c r="J44" s="1"/>
      <c r="K44" s="3">
        <v>45071</v>
      </c>
      <c r="L44" s="3">
        <v>46203</v>
      </c>
      <c r="M44" s="4">
        <v>778</v>
      </c>
      <c r="N44" s="3">
        <v>45078</v>
      </c>
      <c r="O44" s="3">
        <v>46174</v>
      </c>
      <c r="P44" s="4">
        <v>37</v>
      </c>
      <c r="Q44" s="4">
        <v>4</v>
      </c>
      <c r="R44" s="2">
        <v>2.23419217738541E-3</v>
      </c>
      <c r="S44" s="2">
        <v>0.56756756756756799</v>
      </c>
      <c r="T44" s="2">
        <v>0.71875</v>
      </c>
      <c r="U44" s="4">
        <v>2</v>
      </c>
      <c r="V44" s="2">
        <v>1</v>
      </c>
      <c r="W44" s="2">
        <v>3.2772548516368E-3</v>
      </c>
      <c r="X44" s="2">
        <v>-2.9742087490277598E-3</v>
      </c>
      <c r="Y44" s="2">
        <v>-1.97843287485196E-3</v>
      </c>
      <c r="Z44" s="1">
        <v>9.1729640306630805E-2</v>
      </c>
      <c r="AA44" s="2">
        <v>-4.7838092729463001E-3</v>
      </c>
      <c r="AB44" s="4">
        <v>5</v>
      </c>
      <c r="AC44" s="1">
        <v>0.27438466370750297</v>
      </c>
      <c r="AD44" s="1">
        <v>0.28109313521187401</v>
      </c>
      <c r="AE44" s="1">
        <v>0.58782513030225503</v>
      </c>
      <c r="AF44" s="1" t="s">
        <v>108</v>
      </c>
      <c r="AG44" s="4">
        <v>37</v>
      </c>
      <c r="AH44" s="1" t="s">
        <v>73</v>
      </c>
      <c r="AI44" s="2">
        <v>3.5313977214825199E-3</v>
      </c>
      <c r="AJ44" s="1" t="s">
        <v>73</v>
      </c>
      <c r="AK44" s="1">
        <v>0.50302920469915702</v>
      </c>
      <c r="AL44" s="4">
        <v>37</v>
      </c>
      <c r="AM44" s="1">
        <v>0.12136719147318401</v>
      </c>
      <c r="AN44" s="2">
        <v>2.90171295097294E-2</v>
      </c>
      <c r="AO44" s="2">
        <v>-9.7145442098034397E-4</v>
      </c>
      <c r="AP44" s="2">
        <v>0.29729729729729698</v>
      </c>
      <c r="AQ44" s="4">
        <v>37</v>
      </c>
      <c r="AR44" s="1">
        <v>0.47047824148856898</v>
      </c>
      <c r="AS44" s="2">
        <v>1.0206881488466201E-2</v>
      </c>
      <c r="AT44" s="2">
        <v>-1.5675583707620899E-2</v>
      </c>
      <c r="AU44" s="2">
        <v>0.21621621621621601</v>
      </c>
      <c r="AV44" s="4">
        <v>37</v>
      </c>
      <c r="AW44" s="1">
        <v>0.50302920469915702</v>
      </c>
      <c r="AX44" s="2">
        <v>3.5313977214825199E-3</v>
      </c>
      <c r="AY44" s="2">
        <v>5.3913098939308802E-3</v>
      </c>
      <c r="AZ44" s="2">
        <v>0.62162162162162204</v>
      </c>
    </row>
    <row r="45" spans="1:52" ht="28.8" x14ac:dyDescent="0.3">
      <c r="A45" s="1" t="s">
        <v>183</v>
      </c>
      <c r="B45" s="1" t="s">
        <v>184</v>
      </c>
      <c r="C45" s="1" t="s">
        <v>185</v>
      </c>
      <c r="D45" s="2">
        <v>5.4999999999999997E-3</v>
      </c>
      <c r="E45" s="1" t="b">
        <v>0</v>
      </c>
      <c r="F45" s="1" t="b">
        <v>1</v>
      </c>
      <c r="G45" s="1" t="b">
        <v>1</v>
      </c>
      <c r="H45" s="1"/>
      <c r="I45" s="1" t="b">
        <v>1</v>
      </c>
      <c r="J45" s="1"/>
      <c r="K45" s="3">
        <v>41950</v>
      </c>
      <c r="L45" s="3">
        <v>46203</v>
      </c>
      <c r="M45" s="4">
        <v>2920</v>
      </c>
      <c r="N45" s="3">
        <v>41944</v>
      </c>
      <c r="O45" s="3">
        <v>46174</v>
      </c>
      <c r="P45" s="4">
        <v>140</v>
      </c>
      <c r="Q45" s="4">
        <v>2</v>
      </c>
      <c r="R45" s="2">
        <v>5.4871570170522699E-4</v>
      </c>
      <c r="S45" s="2">
        <v>0.63571428571428601</v>
      </c>
      <c r="T45" s="2">
        <v>0.65925925925925899</v>
      </c>
      <c r="U45" s="4">
        <v>105</v>
      </c>
      <c r="V45" s="2">
        <v>0.74285714285714299</v>
      </c>
      <c r="W45" s="2">
        <v>1.46819255190886E-2</v>
      </c>
      <c r="X45" s="2">
        <v>-2.1131354162272398E-2</v>
      </c>
      <c r="Y45" s="2">
        <v>-1.71308668083377E-2</v>
      </c>
      <c r="Z45" s="1">
        <v>0.45043088732940401</v>
      </c>
      <c r="AA45" s="2">
        <v>-9.3036667502153003E-2</v>
      </c>
      <c r="AB45" s="4"/>
      <c r="AC45" s="1">
        <v>0.503520731690277</v>
      </c>
      <c r="AD45" s="1">
        <v>0.51291095422539401</v>
      </c>
      <c r="AE45" s="1">
        <v>0.69047573794898398</v>
      </c>
      <c r="AF45" s="1" t="s">
        <v>126</v>
      </c>
      <c r="AG45" s="4">
        <v>99</v>
      </c>
      <c r="AH45" s="1" t="s">
        <v>73</v>
      </c>
      <c r="AI45" s="2">
        <v>1.54803780082033E-2</v>
      </c>
      <c r="AJ45" s="1" t="s">
        <v>56</v>
      </c>
      <c r="AK45" s="1">
        <v>0.50816538761548402</v>
      </c>
      <c r="AL45" s="4">
        <v>102</v>
      </c>
      <c r="AM45" s="1">
        <v>0.46800025278193802</v>
      </c>
      <c r="AN45" s="2">
        <v>3.6674886311513499E-2</v>
      </c>
      <c r="AO45" s="2">
        <v>1.2094210373805299E-3</v>
      </c>
      <c r="AP45" s="2">
        <v>0.441176470588235</v>
      </c>
      <c r="AQ45" s="4">
        <v>140</v>
      </c>
      <c r="AR45" s="1">
        <v>0.50816538761548402</v>
      </c>
      <c r="AS45" s="2">
        <v>1.7256430182830001E-2</v>
      </c>
      <c r="AT45" s="2">
        <v>-9.4095394362283501E-3</v>
      </c>
      <c r="AU45" s="2">
        <v>0.42142857142857099</v>
      </c>
      <c r="AV45" s="4">
        <v>140</v>
      </c>
      <c r="AW45" s="1">
        <v>1.06023957481278E-2</v>
      </c>
      <c r="AX45" s="2">
        <v>1.54803780082033E-2</v>
      </c>
      <c r="AY45" s="2">
        <v>-3.6373937408540298E-4</v>
      </c>
      <c r="AZ45" s="2">
        <v>0.56428571428571395</v>
      </c>
    </row>
    <row r="46" spans="1:52" ht="28.8" x14ac:dyDescent="0.3">
      <c r="A46" s="1" t="s">
        <v>186</v>
      </c>
      <c r="B46" s="1" t="s">
        <v>187</v>
      </c>
      <c r="C46" s="1" t="s">
        <v>188</v>
      </c>
      <c r="D46" s="2">
        <v>6.0000000000000001E-3</v>
      </c>
      <c r="E46" s="1" t="b">
        <v>0</v>
      </c>
      <c r="F46" s="1" t="b">
        <v>1</v>
      </c>
      <c r="G46" s="1" t="b">
        <v>1</v>
      </c>
      <c r="H46" s="1"/>
      <c r="I46" s="1" t="b">
        <v>1</v>
      </c>
      <c r="J46" s="1"/>
      <c r="K46" s="3">
        <v>43040</v>
      </c>
      <c r="L46" s="3">
        <v>46203</v>
      </c>
      <c r="M46" s="4">
        <v>2172</v>
      </c>
      <c r="N46" s="3">
        <v>43040</v>
      </c>
      <c r="O46" s="3">
        <v>46174</v>
      </c>
      <c r="P46" s="4">
        <v>104</v>
      </c>
      <c r="Q46" s="4">
        <v>1</v>
      </c>
      <c r="R46" s="2">
        <v>-9.7900297089526011E-4</v>
      </c>
      <c r="S46" s="2">
        <v>0.71153846153846201</v>
      </c>
      <c r="T46" s="2">
        <v>0.69696969696969702</v>
      </c>
      <c r="U46" s="4">
        <v>69</v>
      </c>
      <c r="V46" s="2">
        <v>0.50724637681159401</v>
      </c>
      <c r="W46" s="2">
        <v>2.0442905650478401E-2</v>
      </c>
      <c r="X46" s="2">
        <v>-3.8524179740767703E-2</v>
      </c>
      <c r="Y46" s="2">
        <v>-2.9885419198431198E-2</v>
      </c>
      <c r="Z46" s="1">
        <v>0.40295403516588701</v>
      </c>
      <c r="AA46" s="2">
        <v>-7.4232318191147506E-2</v>
      </c>
      <c r="AB46" s="4"/>
      <c r="AC46" s="1">
        <v>0.68845109332801102</v>
      </c>
      <c r="AD46" s="1">
        <v>0.77301065860819795</v>
      </c>
      <c r="AE46" s="1">
        <v>0.92835073667007295</v>
      </c>
      <c r="AF46" s="1" t="s">
        <v>168</v>
      </c>
      <c r="AG46" s="4">
        <v>104</v>
      </c>
      <c r="AH46" s="1" t="s">
        <v>56</v>
      </c>
      <c r="AI46" s="2">
        <v>1.4245447180021501E-2</v>
      </c>
      <c r="AJ46" s="1" t="s">
        <v>56</v>
      </c>
      <c r="AK46" s="1">
        <v>0.77343241401047003</v>
      </c>
      <c r="AL46" s="4">
        <v>102</v>
      </c>
      <c r="AM46" s="1">
        <v>0.65319452860043403</v>
      </c>
      <c r="AN46" s="2">
        <v>3.1532529901134997E-2</v>
      </c>
      <c r="AO46" s="2">
        <v>3.4045037961372101E-3</v>
      </c>
      <c r="AP46" s="2">
        <v>0.33333333333333298</v>
      </c>
      <c r="AQ46" s="4">
        <v>104</v>
      </c>
      <c r="AR46" s="1">
        <v>0.77343241401047003</v>
      </c>
      <c r="AS46" s="2">
        <v>1.4245447180021501E-2</v>
      </c>
      <c r="AT46" s="2">
        <v>-9.9642249174552999E-3</v>
      </c>
      <c r="AU46" s="2">
        <v>0.230769230769231</v>
      </c>
      <c r="AV46" s="4">
        <v>104</v>
      </c>
      <c r="AW46" s="1">
        <v>-0.18319291616169001</v>
      </c>
      <c r="AX46" s="2">
        <v>2.1964688096818102E-2</v>
      </c>
      <c r="AY46" s="2">
        <v>-6.6394955941273504E-4</v>
      </c>
      <c r="AZ46" s="2">
        <v>0.61538461538461497</v>
      </c>
    </row>
    <row r="47" spans="1:52" ht="28.8" x14ac:dyDescent="0.3">
      <c r="A47" s="1" t="s">
        <v>189</v>
      </c>
      <c r="B47" s="1" t="s">
        <v>190</v>
      </c>
      <c r="C47" s="1" t="s">
        <v>191</v>
      </c>
      <c r="D47" s="2">
        <v>5.0000000000000001E-3</v>
      </c>
      <c r="E47" s="1" t="b">
        <v>0</v>
      </c>
      <c r="F47" s="1" t="b">
        <v>1</v>
      </c>
      <c r="G47" s="1" t="b">
        <v>1</v>
      </c>
      <c r="H47" s="1"/>
      <c r="I47" s="1" t="b">
        <v>1</v>
      </c>
      <c r="J47" s="1"/>
      <c r="K47" s="3">
        <v>44697</v>
      </c>
      <c r="L47" s="3">
        <v>46203</v>
      </c>
      <c r="M47" s="4">
        <v>1036</v>
      </c>
      <c r="N47" s="3">
        <v>44713</v>
      </c>
      <c r="O47" s="3">
        <v>46174</v>
      </c>
      <c r="P47" s="4">
        <v>49</v>
      </c>
      <c r="Q47" s="4">
        <v>1</v>
      </c>
      <c r="R47" s="2">
        <v>-3.7485562382431098E-3</v>
      </c>
      <c r="S47" s="2">
        <v>0.63265306122449005</v>
      </c>
      <c r="T47" s="2">
        <v>0.47727272727272702</v>
      </c>
      <c r="U47" s="4">
        <v>14</v>
      </c>
      <c r="V47" s="2">
        <v>0.214285714285714</v>
      </c>
      <c r="W47" s="2">
        <v>1.1302809027055299E-2</v>
      </c>
      <c r="X47" s="2">
        <v>-8.5534747228490603E-3</v>
      </c>
      <c r="Y47" s="2">
        <v>-7.8096222600016699E-3</v>
      </c>
      <c r="Z47" s="1">
        <v>0.426946461955026</v>
      </c>
      <c r="AA47" s="2">
        <v>-2.7779772443295499E-2</v>
      </c>
      <c r="AB47" s="4"/>
      <c r="AC47" s="1">
        <v>0.67391847949046901</v>
      </c>
      <c r="AD47" s="1">
        <v>0.69995065679840895</v>
      </c>
      <c r="AE47" s="1">
        <v>0.83454875848244503</v>
      </c>
      <c r="AF47" s="1" t="s">
        <v>163</v>
      </c>
      <c r="AG47" s="4">
        <v>49</v>
      </c>
      <c r="AH47" s="1" t="s">
        <v>56</v>
      </c>
      <c r="AI47" s="2">
        <v>7.4099852180754596E-3</v>
      </c>
      <c r="AJ47" s="1" t="s">
        <v>56</v>
      </c>
      <c r="AK47" s="1">
        <v>0.85892344707172597</v>
      </c>
      <c r="AL47" s="4">
        <v>49</v>
      </c>
      <c r="AM47" s="1">
        <v>0.65388048577370095</v>
      </c>
      <c r="AN47" s="2">
        <v>4.1197768318308903E-2</v>
      </c>
      <c r="AO47" s="2">
        <v>1.62441303094427E-2</v>
      </c>
      <c r="AP47" s="2">
        <v>0.26530612244898</v>
      </c>
      <c r="AQ47" s="4">
        <v>49</v>
      </c>
      <c r="AR47" s="1">
        <v>0.85892344707172597</v>
      </c>
      <c r="AS47" s="2">
        <v>7.4099852180754596E-3</v>
      </c>
      <c r="AT47" s="2">
        <v>-1.3258742375543401E-2</v>
      </c>
      <c r="AU47" s="2">
        <v>0.20408163265306101</v>
      </c>
      <c r="AV47" s="4">
        <v>49</v>
      </c>
      <c r="AW47" s="1">
        <v>0.241941354239257</v>
      </c>
      <c r="AX47" s="2">
        <v>1.0991158794195301E-2</v>
      </c>
      <c r="AY47" s="2">
        <v>-1.4907033263211701E-3</v>
      </c>
      <c r="AZ47" s="2">
        <v>0.63265306122449005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1"/>
  <sheetViews>
    <sheetView showGridLines="0"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I10" sqref="I10"/>
    </sheetView>
  </sheetViews>
  <sheetFormatPr defaultColWidth="11.5546875" defaultRowHeight="14.4" x14ac:dyDescent="0.3"/>
  <cols>
    <col min="1" max="1" width="14.6640625" customWidth="1"/>
    <col min="2" max="2" width="32.6640625" customWidth="1"/>
    <col min="3" max="8" width="14.6640625" customWidth="1"/>
    <col min="9" max="10" width="28.6640625" customWidth="1"/>
    <col min="11" max="34" width="14.6640625" customWidth="1"/>
    <col min="35" max="36" width="28.6640625" customWidth="1"/>
    <col min="37" max="37" width="14.6640625" customWidth="1"/>
  </cols>
  <sheetData>
    <row r="1" spans="1:37" ht="18" x14ac:dyDescent="0.3">
      <c r="A1" s="7" t="s">
        <v>192</v>
      </c>
      <c r="B1" s="7"/>
      <c r="C1" s="7"/>
      <c r="D1" s="7"/>
      <c r="E1" s="7"/>
      <c r="F1" s="7"/>
      <c r="G1" s="7"/>
      <c r="H1" s="7"/>
      <c r="I1" s="7"/>
      <c r="J1" s="7"/>
    </row>
    <row r="2" spans="1:37" x14ac:dyDescent="0.3">
      <c r="A2" s="5" t="s">
        <v>193</v>
      </c>
      <c r="B2" s="5" t="s">
        <v>194</v>
      </c>
      <c r="C2" s="5" t="s">
        <v>195</v>
      </c>
      <c r="D2" s="5" t="s">
        <v>196</v>
      </c>
      <c r="E2" s="5" t="s">
        <v>197</v>
      </c>
      <c r="F2" s="5" t="s">
        <v>198</v>
      </c>
    </row>
    <row r="3" spans="1:37" x14ac:dyDescent="0.3">
      <c r="A3" s="5" t="s">
        <v>199</v>
      </c>
      <c r="B3" s="5" t="s">
        <v>200</v>
      </c>
      <c r="C3" s="5" t="s">
        <v>199</v>
      </c>
      <c r="D3" s="5" t="s">
        <v>200</v>
      </c>
      <c r="E3" s="5" t="s">
        <v>201</v>
      </c>
      <c r="F3" s="5">
        <v>3</v>
      </c>
    </row>
    <row r="5" spans="1:37" ht="43.2" x14ac:dyDescent="0.3">
      <c r="A5" s="1" t="s">
        <v>202</v>
      </c>
      <c r="B5" s="1" t="s">
        <v>0</v>
      </c>
      <c r="C5" s="1" t="s">
        <v>16</v>
      </c>
      <c r="D5" s="1" t="s">
        <v>203</v>
      </c>
      <c r="E5" s="1" t="s">
        <v>204</v>
      </c>
      <c r="F5" s="1" t="s">
        <v>205</v>
      </c>
      <c r="G5" s="1" t="s">
        <v>206</v>
      </c>
      <c r="H5" s="1" t="s">
        <v>207</v>
      </c>
      <c r="I5" s="1" t="s">
        <v>208</v>
      </c>
      <c r="J5" s="1" t="s">
        <v>209</v>
      </c>
      <c r="K5" s="1" t="s">
        <v>210</v>
      </c>
      <c r="L5" s="1" t="s">
        <v>211</v>
      </c>
      <c r="M5" s="1" t="s">
        <v>212</v>
      </c>
      <c r="N5" s="1" t="s">
        <v>213</v>
      </c>
      <c r="O5" s="1" t="s">
        <v>214</v>
      </c>
      <c r="P5" s="1" t="s">
        <v>215</v>
      </c>
      <c r="Q5" s="1" t="s">
        <v>216</v>
      </c>
      <c r="R5" s="1" t="s">
        <v>217</v>
      </c>
      <c r="S5" s="1" t="s">
        <v>218</v>
      </c>
      <c r="T5" s="1" t="s">
        <v>219</v>
      </c>
      <c r="U5" s="1" t="s">
        <v>220</v>
      </c>
      <c r="V5" s="1" t="s">
        <v>221</v>
      </c>
      <c r="W5" s="1" t="s">
        <v>17</v>
      </c>
      <c r="X5" s="1" t="s">
        <v>18</v>
      </c>
      <c r="Y5" s="1" t="s">
        <v>19</v>
      </c>
      <c r="Z5" s="1" t="s">
        <v>20</v>
      </c>
      <c r="AA5" s="1" t="s">
        <v>21</v>
      </c>
      <c r="AB5" s="1" t="s">
        <v>26</v>
      </c>
      <c r="AC5" s="1" t="s">
        <v>24</v>
      </c>
      <c r="AD5" s="1" t="s">
        <v>22</v>
      </c>
      <c r="AE5" s="1" t="s">
        <v>3</v>
      </c>
      <c r="AF5" s="1" t="s">
        <v>222</v>
      </c>
      <c r="AG5" s="1" t="s">
        <v>28</v>
      </c>
      <c r="AH5" s="1" t="s">
        <v>30</v>
      </c>
      <c r="AI5" s="1" t="s">
        <v>31</v>
      </c>
      <c r="AJ5" s="1" t="s">
        <v>33</v>
      </c>
      <c r="AK5" s="1" t="s">
        <v>34</v>
      </c>
    </row>
    <row r="6" spans="1:37" x14ac:dyDescent="0.3">
      <c r="A6" s="4">
        <v>1</v>
      </c>
      <c r="B6" s="1" t="s">
        <v>57</v>
      </c>
      <c r="C6" s="4">
        <v>1</v>
      </c>
      <c r="D6" s="4">
        <v>1</v>
      </c>
      <c r="E6" s="6">
        <v>75.933333333333294</v>
      </c>
      <c r="F6" s="4">
        <v>1</v>
      </c>
      <c r="G6" s="1" t="s">
        <v>223</v>
      </c>
      <c r="H6" s="1" t="s">
        <v>224</v>
      </c>
      <c r="I6" s="1" t="s">
        <v>207</v>
      </c>
      <c r="J6" s="1"/>
      <c r="K6" s="6">
        <v>97.7777777777778</v>
      </c>
      <c r="L6" s="4">
        <v>1</v>
      </c>
      <c r="M6" s="6">
        <v>66.2222222222222</v>
      </c>
      <c r="N6" s="4">
        <v>1</v>
      </c>
      <c r="O6" s="6">
        <v>80.8888888888889</v>
      </c>
      <c r="P6" s="4">
        <v>1</v>
      </c>
      <c r="Q6" s="6">
        <v>58.6666666666667</v>
      </c>
      <c r="R6" s="4">
        <v>1</v>
      </c>
      <c r="S6" s="6">
        <v>89.7777777777778</v>
      </c>
      <c r="T6" s="4">
        <v>1</v>
      </c>
      <c r="U6" s="6">
        <v>31.1111111111111</v>
      </c>
      <c r="V6" s="6">
        <v>100</v>
      </c>
      <c r="W6" s="2">
        <v>2.00677911299596E-2</v>
      </c>
      <c r="X6" s="2">
        <v>0.83561643835616395</v>
      </c>
      <c r="Y6" s="2">
        <v>0.86764705882352899</v>
      </c>
      <c r="Z6" s="4">
        <v>38</v>
      </c>
      <c r="AA6" s="2">
        <v>1</v>
      </c>
      <c r="AB6" s="2">
        <v>-7.0857693052897002E-3</v>
      </c>
      <c r="AC6" s="2">
        <v>-4.5399985244027096E-3</v>
      </c>
      <c r="AD6" s="2">
        <v>9.7832724483332498E-3</v>
      </c>
      <c r="AE6" s="2">
        <v>6.0000000000000001E-3</v>
      </c>
      <c r="AF6" s="6">
        <v>3.3446318549932701</v>
      </c>
      <c r="AG6" s="1">
        <v>0.53624963944306903</v>
      </c>
      <c r="AH6" s="1">
        <v>0.76425272947286205</v>
      </c>
      <c r="AI6" s="1" t="s">
        <v>60</v>
      </c>
      <c r="AJ6" s="1" t="s">
        <v>56</v>
      </c>
      <c r="AK6" s="2">
        <v>1.02677874506031E-2</v>
      </c>
    </row>
    <row r="7" spans="1:37" x14ac:dyDescent="0.3">
      <c r="A7" s="4">
        <v>2</v>
      </c>
      <c r="B7" s="1" t="s">
        <v>61</v>
      </c>
      <c r="C7" s="4">
        <v>1</v>
      </c>
      <c r="D7" s="4">
        <v>2</v>
      </c>
      <c r="E7" s="6">
        <v>73.2222222222222</v>
      </c>
      <c r="F7" s="4">
        <v>1</v>
      </c>
      <c r="G7" s="1" t="s">
        <v>223</v>
      </c>
      <c r="H7" s="1" t="s">
        <v>224</v>
      </c>
      <c r="I7" s="1" t="s">
        <v>207</v>
      </c>
      <c r="J7" s="1"/>
      <c r="K7" s="6">
        <v>95.5555555555556</v>
      </c>
      <c r="L7" s="4">
        <v>1</v>
      </c>
      <c r="M7" s="6">
        <v>61.7777777777778</v>
      </c>
      <c r="N7" s="4">
        <v>1</v>
      </c>
      <c r="O7" s="6">
        <v>86.4444444444444</v>
      </c>
      <c r="P7" s="4">
        <v>1</v>
      </c>
      <c r="Q7" s="6">
        <v>56.8888888888889</v>
      </c>
      <c r="R7" s="4">
        <v>2</v>
      </c>
      <c r="S7" s="6">
        <v>71.5555555555555</v>
      </c>
      <c r="T7" s="4">
        <v>2</v>
      </c>
      <c r="U7" s="6">
        <v>31.1111111111111</v>
      </c>
      <c r="V7" s="6">
        <v>95.5555555555556</v>
      </c>
      <c r="W7" s="2">
        <v>1.53959357885796E-2</v>
      </c>
      <c r="X7" s="2">
        <v>0.83333333333333304</v>
      </c>
      <c r="Y7" s="2">
        <v>0.83606557377049195</v>
      </c>
      <c r="Z7" s="4">
        <v>31</v>
      </c>
      <c r="AA7" s="2">
        <v>1</v>
      </c>
      <c r="AB7" s="2">
        <v>-9.1737781686624907E-3</v>
      </c>
      <c r="AC7" s="2">
        <v>-3.8431768179798499E-3</v>
      </c>
      <c r="AD7" s="2">
        <v>6.8309428425686698E-3</v>
      </c>
      <c r="AE7" s="2">
        <v>6.0000000000000001E-3</v>
      </c>
      <c r="AF7" s="6">
        <v>2.5659892980965902</v>
      </c>
      <c r="AG7" s="1">
        <v>0.61050901690655501</v>
      </c>
      <c r="AH7" s="1">
        <v>0.88234277146109796</v>
      </c>
      <c r="AI7" s="1" t="s">
        <v>64</v>
      </c>
      <c r="AJ7" s="1" t="s">
        <v>56</v>
      </c>
      <c r="AK7" s="2">
        <v>9.5235826930027308E-3</v>
      </c>
    </row>
    <row r="8" spans="1:37" x14ac:dyDescent="0.3">
      <c r="A8" s="4">
        <v>3</v>
      </c>
      <c r="B8" s="1" t="s">
        <v>81</v>
      </c>
      <c r="C8" s="4">
        <v>1</v>
      </c>
      <c r="D8" s="4">
        <v>3</v>
      </c>
      <c r="E8" s="6">
        <v>72.3333333333333</v>
      </c>
      <c r="F8" s="4">
        <v>1</v>
      </c>
      <c r="G8" s="1" t="s">
        <v>223</v>
      </c>
      <c r="H8" s="1" t="s">
        <v>224</v>
      </c>
      <c r="I8" s="1" t="s">
        <v>207</v>
      </c>
      <c r="J8" s="1"/>
      <c r="K8" s="6">
        <v>82.2222222222222</v>
      </c>
      <c r="L8" s="4">
        <v>1</v>
      </c>
      <c r="M8" s="6">
        <v>66.6666666666667</v>
      </c>
      <c r="N8" s="4">
        <v>1</v>
      </c>
      <c r="O8" s="6">
        <v>69.3333333333333</v>
      </c>
      <c r="P8" s="4">
        <v>2</v>
      </c>
      <c r="Q8" s="6">
        <v>72.4444444444444</v>
      </c>
      <c r="R8" s="4">
        <v>1</v>
      </c>
      <c r="S8" s="6">
        <v>72.4444444444444</v>
      </c>
      <c r="T8" s="4">
        <v>1</v>
      </c>
      <c r="U8" s="6">
        <v>60</v>
      </c>
      <c r="V8" s="6">
        <v>91.1111111111111</v>
      </c>
      <c r="W8" s="2">
        <v>1.1765055868546301E-2</v>
      </c>
      <c r="X8" s="2">
        <v>0.83695652173913004</v>
      </c>
      <c r="Y8" s="2">
        <v>0.86206896551724099</v>
      </c>
      <c r="Z8" s="4">
        <v>57</v>
      </c>
      <c r="AA8" s="2">
        <v>1</v>
      </c>
      <c r="AB8" s="2">
        <v>-2.4567093108273E-2</v>
      </c>
      <c r="AC8" s="2">
        <v>-1.0097716991130601E-2</v>
      </c>
      <c r="AD8" s="2">
        <v>9.9099660057907404E-3</v>
      </c>
      <c r="AE8" s="2">
        <v>5.0000000000000001E-3</v>
      </c>
      <c r="AF8" s="6">
        <v>2.3530111737092501</v>
      </c>
      <c r="AG8" s="1">
        <v>0.64237824899060003</v>
      </c>
      <c r="AH8" s="1">
        <v>0.84771493920375596</v>
      </c>
      <c r="AI8" s="1" t="s">
        <v>72</v>
      </c>
      <c r="AJ8" s="1" t="s">
        <v>73</v>
      </c>
      <c r="AK8" s="2">
        <v>1.15427849337331E-2</v>
      </c>
    </row>
    <row r="9" spans="1:37" ht="28.8" x14ac:dyDescent="0.3">
      <c r="A9" s="4">
        <v>4</v>
      </c>
      <c r="B9" s="1" t="s">
        <v>69</v>
      </c>
      <c r="C9" s="4">
        <v>1</v>
      </c>
      <c r="D9" s="4">
        <v>4</v>
      </c>
      <c r="E9" s="6">
        <v>69.4444444444444</v>
      </c>
      <c r="F9" s="4">
        <v>1</v>
      </c>
      <c r="G9" s="1" t="s">
        <v>223</v>
      </c>
      <c r="H9" s="1" t="s">
        <v>225</v>
      </c>
      <c r="I9" s="1" t="s">
        <v>226</v>
      </c>
      <c r="J9" s="1"/>
      <c r="K9" s="6">
        <v>91.1111111111111</v>
      </c>
      <c r="L9" s="4">
        <v>1</v>
      </c>
      <c r="M9" s="6">
        <v>61.3333333333333</v>
      </c>
      <c r="N9" s="4">
        <v>2</v>
      </c>
      <c r="O9" s="6">
        <v>83.3333333333333</v>
      </c>
      <c r="P9" s="4">
        <v>1</v>
      </c>
      <c r="Q9" s="6">
        <v>44.8888888888889</v>
      </c>
      <c r="R9" s="4">
        <v>2</v>
      </c>
      <c r="S9" s="6">
        <v>80</v>
      </c>
      <c r="T9" s="4">
        <v>1</v>
      </c>
      <c r="U9" s="6">
        <v>20</v>
      </c>
      <c r="V9" s="6">
        <v>82.2222222222222</v>
      </c>
      <c r="W9" s="2">
        <v>1.3995034858907299E-2</v>
      </c>
      <c r="X9" s="2">
        <v>0.81818181818181801</v>
      </c>
      <c r="Y9" s="2">
        <v>0.87179487179487203</v>
      </c>
      <c r="Z9" s="4">
        <v>9</v>
      </c>
      <c r="AA9" s="2">
        <v>1</v>
      </c>
      <c r="AB9" s="2">
        <v>-1.23984273919064E-2</v>
      </c>
      <c r="AC9" s="2">
        <v>-4.0648500005735499E-3</v>
      </c>
      <c r="AD9" s="2">
        <v>7.38268885026755E-3</v>
      </c>
      <c r="AE9" s="2">
        <v>7.0000000000000001E-3</v>
      </c>
      <c r="AF9" s="6">
        <v>1.99929069412961</v>
      </c>
      <c r="AG9" s="1">
        <v>0.56555050017216901</v>
      </c>
      <c r="AH9" s="1">
        <v>0.86658347284111503</v>
      </c>
      <c r="AI9" s="1" t="s">
        <v>72</v>
      </c>
      <c r="AJ9" s="1" t="s">
        <v>73</v>
      </c>
      <c r="AK9" s="2">
        <v>7.4493067478068097E-3</v>
      </c>
    </row>
    <row r="10" spans="1:37" ht="28.8" x14ac:dyDescent="0.3">
      <c r="A10" s="4">
        <v>5</v>
      </c>
      <c r="B10" s="1" t="s">
        <v>55</v>
      </c>
      <c r="C10" s="4">
        <v>1</v>
      </c>
      <c r="D10" s="4">
        <v>5</v>
      </c>
      <c r="E10" s="6">
        <v>65.2</v>
      </c>
      <c r="F10" s="4">
        <v>1</v>
      </c>
      <c r="G10" s="1" t="s">
        <v>223</v>
      </c>
      <c r="H10" s="1" t="s">
        <v>225</v>
      </c>
      <c r="I10" s="1" t="s">
        <v>226</v>
      </c>
      <c r="J10" s="1"/>
      <c r="K10" s="6">
        <v>73.3333333333333</v>
      </c>
      <c r="L10" s="4">
        <v>2</v>
      </c>
      <c r="M10" s="6">
        <v>52.4444444444444</v>
      </c>
      <c r="N10" s="4">
        <v>2</v>
      </c>
      <c r="O10" s="6">
        <v>97.3333333333333</v>
      </c>
      <c r="P10" s="4">
        <v>1</v>
      </c>
      <c r="Q10" s="6">
        <v>48</v>
      </c>
      <c r="R10" s="4">
        <v>2</v>
      </c>
      <c r="S10" s="6">
        <v>59.5555555555556</v>
      </c>
      <c r="T10" s="4">
        <v>2</v>
      </c>
      <c r="U10" s="6">
        <v>31.1111111111111</v>
      </c>
      <c r="V10" s="6">
        <v>73.3333333333333</v>
      </c>
      <c r="W10" s="2">
        <v>1.0919685845205199E-2</v>
      </c>
      <c r="X10" s="2">
        <v>0.76315789473684204</v>
      </c>
      <c r="Y10" s="2">
        <v>0.87878787878787901</v>
      </c>
      <c r="Z10" s="4">
        <v>3</v>
      </c>
      <c r="AA10" s="2">
        <v>1</v>
      </c>
      <c r="AB10" s="2">
        <v>-3.2034426218445801E-3</v>
      </c>
      <c r="AC10" s="2">
        <v>-1.7491746156408001E-3</v>
      </c>
      <c r="AD10" s="2">
        <v>4.5205246600075197E-3</v>
      </c>
      <c r="AE10" s="2">
        <v>6.0000000000000001E-3</v>
      </c>
      <c r="AF10" s="6">
        <v>1.8199476408675299</v>
      </c>
      <c r="AG10" s="1">
        <v>0.65007470443760096</v>
      </c>
      <c r="AH10" s="1">
        <v>0.89125816690189996</v>
      </c>
      <c r="AI10" s="1" t="s">
        <v>52</v>
      </c>
      <c r="AJ10" s="1" t="s">
        <v>73</v>
      </c>
      <c r="AK10" s="2">
        <v>5.2455759313688602E-3</v>
      </c>
    </row>
    <row r="11" spans="1:37" ht="28.8" x14ac:dyDescent="0.3">
      <c r="A11" s="4">
        <v>6</v>
      </c>
      <c r="B11" s="1" t="s">
        <v>78</v>
      </c>
      <c r="C11" s="4">
        <v>1</v>
      </c>
      <c r="D11" s="4">
        <v>6</v>
      </c>
      <c r="E11" s="6">
        <v>64.488888888888894</v>
      </c>
      <c r="F11" s="4">
        <v>1</v>
      </c>
      <c r="G11" s="1" t="s">
        <v>223</v>
      </c>
      <c r="H11" s="1" t="s">
        <v>225</v>
      </c>
      <c r="I11" s="1" t="s">
        <v>226</v>
      </c>
      <c r="J11" s="1"/>
      <c r="K11" s="6">
        <v>86.6666666666667</v>
      </c>
      <c r="L11" s="4">
        <v>1</v>
      </c>
      <c r="M11" s="6">
        <v>63.5555555555556</v>
      </c>
      <c r="N11" s="4">
        <v>1</v>
      </c>
      <c r="O11" s="6">
        <v>95.3333333333333</v>
      </c>
      <c r="P11" s="4">
        <v>1</v>
      </c>
      <c r="Q11" s="6">
        <v>17.3333333333333</v>
      </c>
      <c r="R11" s="4">
        <v>4</v>
      </c>
      <c r="S11" s="6">
        <v>78.6666666666667</v>
      </c>
      <c r="T11" s="4">
        <v>1</v>
      </c>
      <c r="U11" s="6">
        <v>2.2222222222222201</v>
      </c>
      <c r="V11" s="6">
        <v>40</v>
      </c>
      <c r="W11" s="2">
        <v>1.2677856477199699E-2</v>
      </c>
      <c r="X11" s="2">
        <v>0.81481481481481499</v>
      </c>
      <c r="Y11" s="2">
        <v>0.91836734693877597</v>
      </c>
      <c r="Z11" s="4">
        <v>19</v>
      </c>
      <c r="AA11" s="2">
        <v>1</v>
      </c>
      <c r="AB11" s="2">
        <v>-5.2431086889226401E-3</v>
      </c>
      <c r="AC11" s="2">
        <v>-1.8670962980988201E-3</v>
      </c>
      <c r="AD11" s="2">
        <v>4.2139623810150701E-3</v>
      </c>
      <c r="AE11" s="2">
        <v>1.04E-2</v>
      </c>
      <c r="AF11" s="6">
        <v>1.2190246612691999</v>
      </c>
      <c r="AG11" s="1">
        <v>0.59066629055919995</v>
      </c>
      <c r="AH11" s="1">
        <v>0.84308262936123801</v>
      </c>
      <c r="AI11" s="1" t="s">
        <v>81</v>
      </c>
      <c r="AJ11" s="1" t="s">
        <v>73</v>
      </c>
      <c r="AK11" s="2">
        <v>4.9283028759401397E-3</v>
      </c>
    </row>
    <row r="12" spans="1:37" ht="28.8" x14ac:dyDescent="0.3">
      <c r="A12" s="4">
        <v>7</v>
      </c>
      <c r="B12" s="1" t="s">
        <v>52</v>
      </c>
      <c r="C12" s="4">
        <v>1</v>
      </c>
      <c r="D12" s="4">
        <v>7</v>
      </c>
      <c r="E12" s="6">
        <v>63.377777777777801</v>
      </c>
      <c r="F12" s="4">
        <v>1</v>
      </c>
      <c r="G12" s="1" t="s">
        <v>223</v>
      </c>
      <c r="H12" s="1" t="s">
        <v>225</v>
      </c>
      <c r="I12" s="1" t="s">
        <v>226</v>
      </c>
      <c r="J12" s="1"/>
      <c r="K12" s="6">
        <v>100</v>
      </c>
      <c r="L12" s="4">
        <v>1</v>
      </c>
      <c r="M12" s="6">
        <v>62.2222222222222</v>
      </c>
      <c r="N12" s="4">
        <v>1</v>
      </c>
      <c r="O12" s="6">
        <v>55.5555555555556</v>
      </c>
      <c r="P12" s="4">
        <v>2</v>
      </c>
      <c r="Q12" s="6">
        <v>38.2222222222222</v>
      </c>
      <c r="R12" s="4">
        <v>3</v>
      </c>
      <c r="S12" s="6">
        <v>71.5555555555555</v>
      </c>
      <c r="T12" s="4">
        <v>2</v>
      </c>
      <c r="U12" s="6">
        <v>4.4444444444444402</v>
      </c>
      <c r="V12" s="6">
        <v>88.8888888888889</v>
      </c>
      <c r="W12" s="2">
        <v>2.0897143351777302E-2</v>
      </c>
      <c r="X12" s="2">
        <v>0.80769230769230804</v>
      </c>
      <c r="Y12" s="2">
        <v>0.91780821917808197</v>
      </c>
      <c r="Z12" s="4">
        <v>43</v>
      </c>
      <c r="AA12" s="2">
        <v>1</v>
      </c>
      <c r="AB12" s="2">
        <v>-2.5602326891905901E-2</v>
      </c>
      <c r="AC12" s="2">
        <v>-1.0781139996754001E-2</v>
      </c>
      <c r="AD12" s="2">
        <v>1.5340387449162701E-2</v>
      </c>
      <c r="AE12" s="2">
        <v>8.9999999999999993E-3</v>
      </c>
      <c r="AF12" s="6">
        <v>2.3219048168641399</v>
      </c>
      <c r="AG12" s="1">
        <v>0.570013379400933</v>
      </c>
      <c r="AH12" s="1">
        <v>0.89125816690189996</v>
      </c>
      <c r="AI12" s="1" t="s">
        <v>55</v>
      </c>
      <c r="AJ12" s="1" t="s">
        <v>56</v>
      </c>
      <c r="AK12" s="2">
        <v>1.5710819521473102E-2</v>
      </c>
    </row>
    <row r="13" spans="1:37" ht="28.8" x14ac:dyDescent="0.3">
      <c r="A13" s="4">
        <v>8</v>
      </c>
      <c r="B13" s="1" t="s">
        <v>120</v>
      </c>
      <c r="C13" s="4">
        <v>1</v>
      </c>
      <c r="D13" s="4">
        <v>8</v>
      </c>
      <c r="E13" s="6">
        <v>62.5555555555556</v>
      </c>
      <c r="F13" s="4">
        <v>1</v>
      </c>
      <c r="G13" s="1" t="s">
        <v>223</v>
      </c>
      <c r="H13" s="1" t="s">
        <v>225</v>
      </c>
      <c r="I13" s="1" t="s">
        <v>226</v>
      </c>
      <c r="J13" s="1"/>
      <c r="K13" s="6">
        <v>55.5555555555556</v>
      </c>
      <c r="L13" s="4">
        <v>2</v>
      </c>
      <c r="M13" s="6">
        <v>78.2222222222222</v>
      </c>
      <c r="N13" s="4">
        <v>1</v>
      </c>
      <c r="O13" s="6">
        <v>96.4444444444444</v>
      </c>
      <c r="P13" s="4">
        <v>1</v>
      </c>
      <c r="Q13" s="6">
        <v>14.6666666666667</v>
      </c>
      <c r="R13" s="4">
        <v>4</v>
      </c>
      <c r="S13" s="6">
        <v>89.3333333333333</v>
      </c>
      <c r="T13" s="4">
        <v>1</v>
      </c>
      <c r="U13" s="6">
        <v>6.6666666666666696</v>
      </c>
      <c r="V13" s="6">
        <v>26.6666666666667</v>
      </c>
      <c r="W13" s="2">
        <v>8.6608143238391406E-3</v>
      </c>
      <c r="X13" s="2">
        <v>0.88888888888888895</v>
      </c>
      <c r="Y13" s="2">
        <v>0.89411764705882402</v>
      </c>
      <c r="Z13" s="4">
        <v>55</v>
      </c>
      <c r="AA13" s="2">
        <v>1</v>
      </c>
      <c r="AB13" s="2">
        <v>-4.5389404012334796E-3</v>
      </c>
      <c r="AC13" s="2">
        <v>-2.3643654168136602E-3</v>
      </c>
      <c r="AD13" s="2">
        <v>2.96190132207902E-3</v>
      </c>
      <c r="AE13" s="2">
        <v>8.5000000000000006E-3</v>
      </c>
      <c r="AF13" s="6">
        <v>1.0189193322163701</v>
      </c>
      <c r="AG13" s="1">
        <v>0.538843088068513</v>
      </c>
      <c r="AH13" s="1">
        <v>0.74747709726448197</v>
      </c>
      <c r="AI13" s="1" t="s">
        <v>114</v>
      </c>
      <c r="AJ13" s="1" t="s">
        <v>73</v>
      </c>
      <c r="AK13" s="2">
        <v>5.52774174387785E-3</v>
      </c>
    </row>
    <row r="14" spans="1:37" ht="28.8" x14ac:dyDescent="0.3">
      <c r="A14" s="4">
        <v>9</v>
      </c>
      <c r="B14" s="1" t="s">
        <v>130</v>
      </c>
      <c r="C14" s="4">
        <v>1</v>
      </c>
      <c r="D14" s="4">
        <v>9</v>
      </c>
      <c r="E14" s="6">
        <v>60.066666666666698</v>
      </c>
      <c r="F14" s="4">
        <v>1</v>
      </c>
      <c r="G14" s="1" t="s">
        <v>223</v>
      </c>
      <c r="H14" s="1" t="s">
        <v>225</v>
      </c>
      <c r="I14" s="1" t="s">
        <v>226</v>
      </c>
      <c r="J14" s="1"/>
      <c r="K14" s="6">
        <v>48.8888888888889</v>
      </c>
      <c r="L14" s="4">
        <v>2</v>
      </c>
      <c r="M14" s="6">
        <v>68.8888888888889</v>
      </c>
      <c r="N14" s="4">
        <v>1</v>
      </c>
      <c r="O14" s="6">
        <v>51.5555555555556</v>
      </c>
      <c r="P14" s="4">
        <v>2</v>
      </c>
      <c r="Q14" s="6">
        <v>85.3333333333333</v>
      </c>
      <c r="R14" s="4">
        <v>1</v>
      </c>
      <c r="S14" s="6">
        <v>14.2222222222222</v>
      </c>
      <c r="T14" s="4">
        <v>4</v>
      </c>
      <c r="U14" s="6">
        <v>88.8888888888889</v>
      </c>
      <c r="V14" s="6">
        <v>80</v>
      </c>
      <c r="W14" s="2">
        <v>7.9634604470775194E-3</v>
      </c>
      <c r="X14" s="2">
        <v>0.875</v>
      </c>
      <c r="Y14" s="2">
        <v>0.78021978021978</v>
      </c>
      <c r="Z14" s="4">
        <v>61</v>
      </c>
      <c r="AA14" s="2">
        <v>1</v>
      </c>
      <c r="AB14" s="2">
        <v>-3.4336866929485899E-2</v>
      </c>
      <c r="AC14" s="2">
        <v>-1.5376206058436599E-2</v>
      </c>
      <c r="AD14" s="2">
        <v>1.27946887283784E-2</v>
      </c>
      <c r="AE14" s="2">
        <v>4.0000000000000001E-3</v>
      </c>
      <c r="AF14" s="6">
        <v>1.9908651117693801</v>
      </c>
      <c r="AG14" s="1">
        <v>0.76042381606559795</v>
      </c>
      <c r="AH14" s="1">
        <v>0.94908115039130103</v>
      </c>
      <c r="AI14" s="1" t="s">
        <v>98</v>
      </c>
      <c r="AJ14" s="1" t="s">
        <v>56</v>
      </c>
      <c r="AK14" s="2">
        <v>1.21476801671953E-2</v>
      </c>
    </row>
    <row r="15" spans="1:37" ht="28.8" x14ac:dyDescent="0.3">
      <c r="A15" s="4">
        <v>10</v>
      </c>
      <c r="B15" s="1" t="s">
        <v>72</v>
      </c>
      <c r="C15" s="4">
        <v>1</v>
      </c>
      <c r="D15" s="4">
        <v>10</v>
      </c>
      <c r="E15" s="6">
        <v>59.711111111111101</v>
      </c>
      <c r="F15" s="4">
        <v>1</v>
      </c>
      <c r="G15" s="1" t="s">
        <v>223</v>
      </c>
      <c r="H15" s="1" t="s">
        <v>225</v>
      </c>
      <c r="I15" s="1" t="s">
        <v>226</v>
      </c>
      <c r="J15" s="1"/>
      <c r="K15" s="6">
        <v>66.6666666666667</v>
      </c>
      <c r="L15" s="4">
        <v>2</v>
      </c>
      <c r="M15" s="6">
        <v>31.1111111111111</v>
      </c>
      <c r="N15" s="4">
        <v>3</v>
      </c>
      <c r="O15" s="6">
        <v>79.7777777777778</v>
      </c>
      <c r="P15" s="4">
        <v>1</v>
      </c>
      <c r="Q15" s="6">
        <v>61.7777777777778</v>
      </c>
      <c r="R15" s="4">
        <v>1</v>
      </c>
      <c r="S15" s="6">
        <v>72</v>
      </c>
      <c r="T15" s="4">
        <v>1</v>
      </c>
      <c r="U15" s="6">
        <v>55.5555555555556</v>
      </c>
      <c r="V15" s="6">
        <v>71.1111111111111</v>
      </c>
      <c r="W15" s="2">
        <v>1.02730416546515E-2</v>
      </c>
      <c r="X15" s="2">
        <v>0.70454545454545503</v>
      </c>
      <c r="Y15" s="2">
        <v>0.74358974358974395</v>
      </c>
      <c r="Z15" s="4">
        <v>9</v>
      </c>
      <c r="AA15" s="2">
        <v>1</v>
      </c>
      <c r="AB15" s="2">
        <v>-1.40697243453513E-2</v>
      </c>
      <c r="AC15" s="2">
        <v>-4.8371517576372503E-3</v>
      </c>
      <c r="AD15" s="2">
        <v>8.3842426014724501E-3</v>
      </c>
      <c r="AE15" s="2">
        <v>5.7999999999999996E-3</v>
      </c>
      <c r="AF15" s="6">
        <v>1.77121407838819</v>
      </c>
      <c r="AG15" s="1">
        <v>0.63795467755924296</v>
      </c>
      <c r="AH15" s="1">
        <v>0.86658347284111503</v>
      </c>
      <c r="AI15" s="1" t="s">
        <v>69</v>
      </c>
      <c r="AJ15" s="1" t="s">
        <v>73</v>
      </c>
      <c r="AK15" s="2">
        <v>8.4668184537761808E-3</v>
      </c>
    </row>
    <row r="16" spans="1:37" ht="28.8" x14ac:dyDescent="0.3">
      <c r="A16" s="4">
        <v>11</v>
      </c>
      <c r="B16" s="1" t="s">
        <v>133</v>
      </c>
      <c r="C16" s="4">
        <v>1</v>
      </c>
      <c r="D16" s="4">
        <v>11</v>
      </c>
      <c r="E16" s="6">
        <v>59.355555555555497</v>
      </c>
      <c r="F16" s="4">
        <v>1</v>
      </c>
      <c r="G16" s="1" t="s">
        <v>223</v>
      </c>
      <c r="H16" s="1" t="s">
        <v>225</v>
      </c>
      <c r="I16" s="1" t="s">
        <v>226</v>
      </c>
      <c r="J16" s="1"/>
      <c r="K16" s="6">
        <v>46.6666666666667</v>
      </c>
      <c r="L16" s="4">
        <v>3</v>
      </c>
      <c r="M16" s="6">
        <v>75.1111111111111</v>
      </c>
      <c r="N16" s="4">
        <v>1</v>
      </c>
      <c r="O16" s="6">
        <v>92.4444444444444</v>
      </c>
      <c r="P16" s="4">
        <v>1</v>
      </c>
      <c r="Q16" s="6">
        <v>31.1111111111111</v>
      </c>
      <c r="R16" s="4">
        <v>4</v>
      </c>
      <c r="S16" s="6">
        <v>49.7777777777778</v>
      </c>
      <c r="T16" s="4">
        <v>2</v>
      </c>
      <c r="U16" s="6">
        <v>26.6666666666667</v>
      </c>
      <c r="V16" s="6">
        <v>37.7777777777778</v>
      </c>
      <c r="W16" s="2">
        <v>7.7962216442910596E-3</v>
      </c>
      <c r="X16" s="2">
        <v>0.87179487179487203</v>
      </c>
      <c r="Y16" s="2">
        <v>0.88235294117647101</v>
      </c>
      <c r="Z16" s="4">
        <v>4</v>
      </c>
      <c r="AA16" s="2">
        <v>1</v>
      </c>
      <c r="AB16" s="2">
        <v>-5.5435281201600102E-3</v>
      </c>
      <c r="AC16" s="2">
        <v>-2.2613719102280898E-3</v>
      </c>
      <c r="AD16" s="2">
        <v>4.4881214156302198E-3</v>
      </c>
      <c r="AE16" s="2">
        <v>6.4999999999999997E-3</v>
      </c>
      <c r="AF16" s="6">
        <v>1.19941871450632</v>
      </c>
      <c r="AG16" s="1">
        <v>0.57502405908635301</v>
      </c>
      <c r="AH16" s="1">
        <v>0.97285999599388495</v>
      </c>
      <c r="AI16" s="1" t="s">
        <v>136</v>
      </c>
      <c r="AJ16" s="1" t="s">
        <v>73</v>
      </c>
      <c r="AK16" s="2">
        <v>4.87019099074339E-3</v>
      </c>
    </row>
    <row r="17" spans="1:37" ht="28.8" x14ac:dyDescent="0.3">
      <c r="A17" s="4">
        <v>12</v>
      </c>
      <c r="B17" s="1" t="s">
        <v>108</v>
      </c>
      <c r="C17" s="4">
        <v>1</v>
      </c>
      <c r="D17" s="4">
        <v>12</v>
      </c>
      <c r="E17" s="6">
        <v>59.177777777777798</v>
      </c>
      <c r="F17" s="4">
        <v>1</v>
      </c>
      <c r="G17" s="1" t="s">
        <v>223</v>
      </c>
      <c r="H17" s="1" t="s">
        <v>225</v>
      </c>
      <c r="I17" s="1" t="s">
        <v>226</v>
      </c>
      <c r="J17" s="1"/>
      <c r="K17" s="6">
        <v>64.4444444444444</v>
      </c>
      <c r="L17" s="4">
        <v>2</v>
      </c>
      <c r="M17" s="6">
        <v>66.6666666666667</v>
      </c>
      <c r="N17" s="4">
        <v>1</v>
      </c>
      <c r="O17" s="6">
        <v>58.2222222222222</v>
      </c>
      <c r="P17" s="4">
        <v>2</v>
      </c>
      <c r="Q17" s="6">
        <v>66.2222222222222</v>
      </c>
      <c r="R17" s="4">
        <v>1</v>
      </c>
      <c r="S17" s="6">
        <v>14.2222222222222</v>
      </c>
      <c r="T17" s="4">
        <v>4</v>
      </c>
      <c r="U17" s="6">
        <v>60</v>
      </c>
      <c r="V17" s="6">
        <v>75.5555555555556</v>
      </c>
      <c r="W17" s="2">
        <v>9.2739135181167907E-3</v>
      </c>
      <c r="X17" s="2">
        <v>0.86082474226804095</v>
      </c>
      <c r="Y17" s="2">
        <v>0.82539682539682502</v>
      </c>
      <c r="Z17" s="4">
        <v>159</v>
      </c>
      <c r="AA17" s="2">
        <v>0.97484276729559705</v>
      </c>
      <c r="AB17" s="2">
        <v>-3.8370706794813199E-2</v>
      </c>
      <c r="AC17" s="2">
        <v>-1.39831802458391E-2</v>
      </c>
      <c r="AD17" s="2">
        <v>9.1738627398367401E-3</v>
      </c>
      <c r="AE17" s="2">
        <v>5.0000000000000001E-3</v>
      </c>
      <c r="AF17" s="6">
        <v>1.85478270362336</v>
      </c>
      <c r="AG17" s="1">
        <v>0.76415746165548903</v>
      </c>
      <c r="AH17" s="1">
        <v>0.94556075296379805</v>
      </c>
      <c r="AI17" s="1" t="s">
        <v>111</v>
      </c>
      <c r="AJ17" s="1" t="s">
        <v>56</v>
      </c>
      <c r="AK17" s="2">
        <v>8.3205704226548497E-3</v>
      </c>
    </row>
    <row r="18" spans="1:37" x14ac:dyDescent="0.3">
      <c r="A18" s="4">
        <v>13</v>
      </c>
      <c r="B18" s="1" t="s">
        <v>74</v>
      </c>
      <c r="C18" s="4">
        <v>3</v>
      </c>
      <c r="D18" s="4">
        <v>1</v>
      </c>
      <c r="E18" s="6">
        <v>58.955555555555598</v>
      </c>
      <c r="F18" s="4">
        <v>2</v>
      </c>
      <c r="G18" s="1" t="s">
        <v>227</v>
      </c>
      <c r="H18" s="1" t="s">
        <v>224</v>
      </c>
      <c r="I18" s="1" t="s">
        <v>207</v>
      </c>
      <c r="J18" s="1"/>
      <c r="K18" s="6">
        <v>88.8888888888889</v>
      </c>
      <c r="L18" s="4">
        <v>1</v>
      </c>
      <c r="M18" s="6">
        <v>34.6666666666667</v>
      </c>
      <c r="N18" s="4">
        <v>3</v>
      </c>
      <c r="O18" s="6">
        <v>72.2222222222222</v>
      </c>
      <c r="P18" s="4">
        <v>2</v>
      </c>
      <c r="Q18" s="6">
        <v>33.3333333333333</v>
      </c>
      <c r="R18" s="4">
        <v>3</v>
      </c>
      <c r="S18" s="6">
        <v>97.3333333333333</v>
      </c>
      <c r="T18" s="4">
        <v>1</v>
      </c>
      <c r="U18" s="6">
        <v>11.1111111111111</v>
      </c>
      <c r="V18" s="6">
        <v>66.6666666666667</v>
      </c>
      <c r="W18" s="2">
        <v>1.3137858960022199E-2</v>
      </c>
      <c r="X18" s="2">
        <v>0.69014084507042295</v>
      </c>
      <c r="Y18" s="2">
        <v>0.78787878787878796</v>
      </c>
      <c r="Z18" s="4">
        <v>36</v>
      </c>
      <c r="AA18" s="2">
        <v>1</v>
      </c>
      <c r="AB18" s="2">
        <v>-2.05824447977121E-2</v>
      </c>
      <c r="AC18" s="2">
        <v>-5.9642980539021603E-3</v>
      </c>
      <c r="AD18" s="2">
        <v>9.9406382728637905E-3</v>
      </c>
      <c r="AE18" s="2">
        <v>7.6E-3</v>
      </c>
      <c r="AF18" s="6">
        <v>1.7286656526344999</v>
      </c>
      <c r="AG18" s="1">
        <v>0.459658064036292</v>
      </c>
      <c r="AH18" s="1">
        <v>0.57416152926081299</v>
      </c>
      <c r="AI18" s="1" t="s">
        <v>77</v>
      </c>
      <c r="AJ18" s="1" t="s">
        <v>56</v>
      </c>
      <c r="AK18" s="2">
        <v>1.10435903680758E-2</v>
      </c>
    </row>
    <row r="19" spans="1:37" ht="28.8" x14ac:dyDescent="0.3">
      <c r="A19" s="4">
        <v>14</v>
      </c>
      <c r="B19" s="1" t="s">
        <v>95</v>
      </c>
      <c r="C19" s="4">
        <v>1</v>
      </c>
      <c r="D19" s="4">
        <v>13</v>
      </c>
      <c r="E19" s="6">
        <v>58.266666666666701</v>
      </c>
      <c r="F19" s="4">
        <v>2</v>
      </c>
      <c r="G19" s="1" t="s">
        <v>227</v>
      </c>
      <c r="H19" s="1" t="s">
        <v>225</v>
      </c>
      <c r="I19" s="1" t="s">
        <v>226</v>
      </c>
      <c r="J19" s="1"/>
      <c r="K19" s="6">
        <v>75.5555555555556</v>
      </c>
      <c r="L19" s="4">
        <v>1</v>
      </c>
      <c r="M19" s="6">
        <v>44.4444444444444</v>
      </c>
      <c r="N19" s="4">
        <v>2</v>
      </c>
      <c r="O19" s="6">
        <v>34</v>
      </c>
      <c r="P19" s="4">
        <v>3</v>
      </c>
      <c r="Q19" s="6">
        <v>95.1111111111111</v>
      </c>
      <c r="R19" s="4">
        <v>1</v>
      </c>
      <c r="S19" s="6">
        <v>14.6666666666667</v>
      </c>
      <c r="T19" s="4">
        <v>4</v>
      </c>
      <c r="U19" s="6">
        <v>93.3333333333333</v>
      </c>
      <c r="V19" s="6">
        <v>97.7777777777778</v>
      </c>
      <c r="W19" s="2">
        <v>1.12487946183617E-2</v>
      </c>
      <c r="X19" s="2">
        <v>0.77906976744186096</v>
      </c>
      <c r="Y19" s="2">
        <v>0.74074074074074103</v>
      </c>
      <c r="Z19" s="4">
        <v>51</v>
      </c>
      <c r="AA19" s="2">
        <v>1</v>
      </c>
      <c r="AB19" s="2">
        <v>-3.9067215567901999E-2</v>
      </c>
      <c r="AC19" s="2">
        <v>-1.9669351912247099E-2</v>
      </c>
      <c r="AD19" s="2">
        <v>1.8043439525555701E-2</v>
      </c>
      <c r="AE19" s="2">
        <v>3.5000000000000001E-3</v>
      </c>
      <c r="AF19" s="6">
        <v>3.21394131953191</v>
      </c>
      <c r="AG19" s="1">
        <v>0.73111447022012999</v>
      </c>
      <c r="AH19" s="1">
        <v>0.98180513221754695</v>
      </c>
      <c r="AI19" s="1" t="s">
        <v>98</v>
      </c>
      <c r="AJ19" s="1" t="s">
        <v>56</v>
      </c>
      <c r="AK19" s="2">
        <v>1.0490837065179E-2</v>
      </c>
    </row>
    <row r="20" spans="1:37" ht="28.8" x14ac:dyDescent="0.3">
      <c r="A20" s="4">
        <v>15</v>
      </c>
      <c r="B20" s="1" t="s">
        <v>85</v>
      </c>
      <c r="C20" s="4">
        <v>1</v>
      </c>
      <c r="D20" s="4">
        <v>14</v>
      </c>
      <c r="E20" s="6">
        <v>56.7777777777778</v>
      </c>
      <c r="F20" s="4">
        <v>2</v>
      </c>
      <c r="G20" s="1" t="s">
        <v>227</v>
      </c>
      <c r="H20" s="1" t="s">
        <v>225</v>
      </c>
      <c r="I20" s="1" t="s">
        <v>226</v>
      </c>
      <c r="J20" s="1"/>
      <c r="K20" s="6">
        <v>68.8888888888889</v>
      </c>
      <c r="L20" s="4">
        <v>2</v>
      </c>
      <c r="M20" s="6">
        <v>50.2222222222222</v>
      </c>
      <c r="N20" s="4">
        <v>2</v>
      </c>
      <c r="O20" s="6">
        <v>62.4444444444445</v>
      </c>
      <c r="P20" s="4">
        <v>2</v>
      </c>
      <c r="Q20" s="6">
        <v>44.4444444444444</v>
      </c>
      <c r="R20" s="4">
        <v>2</v>
      </c>
      <c r="S20" s="6">
        <v>68.4444444444444</v>
      </c>
      <c r="T20" s="4">
        <v>2</v>
      </c>
      <c r="U20" s="6">
        <v>31.1111111111111</v>
      </c>
      <c r="V20" s="6">
        <v>64.4444444444444</v>
      </c>
      <c r="W20" s="2">
        <v>1.0284484981853101E-2</v>
      </c>
      <c r="X20" s="2">
        <v>0.77906976744186096</v>
      </c>
      <c r="Y20" s="2">
        <v>0.79012345679012297</v>
      </c>
      <c r="Z20" s="4">
        <v>51</v>
      </c>
      <c r="AA20" s="2">
        <v>1</v>
      </c>
      <c r="AB20" s="2">
        <v>-2.7850418284353601E-2</v>
      </c>
      <c r="AC20" s="2">
        <v>-1.1142797643068299E-2</v>
      </c>
      <c r="AD20" s="2">
        <v>1.0849314530713699E-2</v>
      </c>
      <c r="AE20" s="2">
        <v>6.0000000000000001E-3</v>
      </c>
      <c r="AF20" s="6">
        <v>1.7140808303088499</v>
      </c>
      <c r="AG20" s="1">
        <v>0.64634570962201199</v>
      </c>
      <c r="AH20" s="1">
        <v>0.87683300205793702</v>
      </c>
      <c r="AI20" s="1" t="s">
        <v>105</v>
      </c>
      <c r="AJ20" s="1" t="s">
        <v>73</v>
      </c>
      <c r="AK20" s="2">
        <v>1.25669398875772E-2</v>
      </c>
    </row>
    <row r="21" spans="1:37" ht="28.8" x14ac:dyDescent="0.3">
      <c r="A21" s="4">
        <v>16</v>
      </c>
      <c r="B21" s="1" t="s">
        <v>114</v>
      </c>
      <c r="C21" s="4">
        <v>1</v>
      </c>
      <c r="D21" s="4">
        <v>15</v>
      </c>
      <c r="E21" s="6">
        <v>55.822222222222202</v>
      </c>
      <c r="F21" s="4">
        <v>2</v>
      </c>
      <c r="G21" s="1" t="s">
        <v>227</v>
      </c>
      <c r="H21" s="1" t="s">
        <v>225</v>
      </c>
      <c r="I21" s="1" t="s">
        <v>226</v>
      </c>
      <c r="J21" s="1"/>
      <c r="K21" s="6">
        <v>60</v>
      </c>
      <c r="L21" s="4">
        <v>2</v>
      </c>
      <c r="M21" s="6">
        <v>40.8888888888889</v>
      </c>
      <c r="N21" s="4">
        <v>3</v>
      </c>
      <c r="O21" s="6">
        <v>86.6666666666667</v>
      </c>
      <c r="P21" s="4">
        <v>1</v>
      </c>
      <c r="Q21" s="6">
        <v>40</v>
      </c>
      <c r="R21" s="4">
        <v>3</v>
      </c>
      <c r="S21" s="6">
        <v>62.6666666666667</v>
      </c>
      <c r="T21" s="4">
        <v>2</v>
      </c>
      <c r="U21" s="6">
        <v>31.1111111111111</v>
      </c>
      <c r="V21" s="6">
        <v>53.3333333333333</v>
      </c>
      <c r="W21" s="2">
        <v>9.1072005677401702E-3</v>
      </c>
      <c r="X21" s="2">
        <v>0.76190476190476197</v>
      </c>
      <c r="Y21" s="2">
        <v>0.75675675675675702</v>
      </c>
      <c r="Z21" s="4">
        <v>7</v>
      </c>
      <c r="AA21" s="2">
        <v>1</v>
      </c>
      <c r="AB21" s="2">
        <v>-7.4208070895828097E-3</v>
      </c>
      <c r="AC21" s="2">
        <v>-4.1040241630829798E-3</v>
      </c>
      <c r="AD21" s="2">
        <v>6.8223276215657897E-3</v>
      </c>
      <c r="AE21" s="2">
        <v>6.0000000000000001E-3</v>
      </c>
      <c r="AF21" s="6">
        <v>1.5178667612900301</v>
      </c>
      <c r="AG21" s="1">
        <v>0.65820496459546995</v>
      </c>
      <c r="AH21" s="1">
        <v>0.88246259238664704</v>
      </c>
      <c r="AI21" s="1" t="s">
        <v>60</v>
      </c>
      <c r="AJ21" s="1" t="s">
        <v>73</v>
      </c>
      <c r="AK21" s="2">
        <v>6.6436443737180398E-3</v>
      </c>
    </row>
    <row r="22" spans="1:37" ht="28.8" x14ac:dyDescent="0.3">
      <c r="A22" s="4">
        <v>17</v>
      </c>
      <c r="B22" s="1" t="s">
        <v>98</v>
      </c>
      <c r="C22" s="4">
        <v>1</v>
      </c>
      <c r="D22" s="4">
        <v>16</v>
      </c>
      <c r="E22" s="6">
        <v>55.622222222222199</v>
      </c>
      <c r="F22" s="4">
        <v>2</v>
      </c>
      <c r="G22" s="1" t="s">
        <v>227</v>
      </c>
      <c r="H22" s="1" t="s">
        <v>225</v>
      </c>
      <c r="I22" s="1" t="s">
        <v>226</v>
      </c>
      <c r="J22" s="1"/>
      <c r="K22" s="6">
        <v>42.2222222222222</v>
      </c>
      <c r="L22" s="4">
        <v>3</v>
      </c>
      <c r="M22" s="6">
        <v>61.7777777777778</v>
      </c>
      <c r="N22" s="4">
        <v>1</v>
      </c>
      <c r="O22" s="6">
        <v>32</v>
      </c>
      <c r="P22" s="4">
        <v>3</v>
      </c>
      <c r="Q22" s="6">
        <v>96</v>
      </c>
      <c r="R22" s="4">
        <v>1</v>
      </c>
      <c r="S22" s="6">
        <v>13.3333333333333</v>
      </c>
      <c r="T22" s="4">
        <v>4</v>
      </c>
      <c r="U22" s="6">
        <v>97.7777777777778</v>
      </c>
      <c r="V22" s="6">
        <v>93.3333333333333</v>
      </c>
      <c r="W22" s="2">
        <v>7.0623557969042797E-3</v>
      </c>
      <c r="X22" s="2">
        <v>0.85465116279069797</v>
      </c>
      <c r="Y22" s="2">
        <v>0.84431137724550898</v>
      </c>
      <c r="Z22" s="4">
        <v>137</v>
      </c>
      <c r="AA22" s="2">
        <v>0.91970802919707995</v>
      </c>
      <c r="AB22" s="2">
        <v>-5.16215252401062E-2</v>
      </c>
      <c r="AC22" s="2">
        <v>-2.1429607730981699E-2</v>
      </c>
      <c r="AD22" s="2">
        <v>1.3502127520485E-2</v>
      </c>
      <c r="AE22" s="2">
        <v>3.0000000000000001E-3</v>
      </c>
      <c r="AF22" s="6">
        <v>2.3541185989680899</v>
      </c>
      <c r="AG22" s="1">
        <v>0.73594728211031102</v>
      </c>
      <c r="AH22" s="1">
        <v>0.98180513221754695</v>
      </c>
      <c r="AI22" s="1" t="s">
        <v>95</v>
      </c>
      <c r="AJ22" s="1" t="s">
        <v>56</v>
      </c>
      <c r="AK22" s="2">
        <v>6.05113899136169E-3</v>
      </c>
    </row>
    <row r="23" spans="1:37" ht="28.8" x14ac:dyDescent="0.3">
      <c r="A23" s="4">
        <v>18</v>
      </c>
      <c r="B23" s="1" t="s">
        <v>68</v>
      </c>
      <c r="C23" s="4">
        <v>1</v>
      </c>
      <c r="D23" s="4">
        <v>17</v>
      </c>
      <c r="E23" s="6">
        <v>55.3333333333333</v>
      </c>
      <c r="F23" s="4">
        <v>2</v>
      </c>
      <c r="G23" s="1" t="s">
        <v>227</v>
      </c>
      <c r="H23" s="1" t="s">
        <v>225</v>
      </c>
      <c r="I23" s="1" t="s">
        <v>226</v>
      </c>
      <c r="J23" s="1"/>
      <c r="K23" s="6">
        <v>71.1111111111111</v>
      </c>
      <c r="L23" s="4">
        <v>2</v>
      </c>
      <c r="M23" s="6">
        <v>57.3333333333333</v>
      </c>
      <c r="N23" s="4">
        <v>2</v>
      </c>
      <c r="O23" s="6">
        <v>43.1111111111111</v>
      </c>
      <c r="P23" s="4">
        <v>3</v>
      </c>
      <c r="Q23" s="6">
        <v>69.7777777777778</v>
      </c>
      <c r="R23" s="4">
        <v>1</v>
      </c>
      <c r="S23" s="6">
        <v>7.1111111111111098</v>
      </c>
      <c r="T23" s="4">
        <v>4</v>
      </c>
      <c r="U23" s="6">
        <v>60</v>
      </c>
      <c r="V23" s="6">
        <v>84.4444444444444</v>
      </c>
      <c r="W23" s="2">
        <v>1.0716183081906E-2</v>
      </c>
      <c r="X23" s="2">
        <v>0.822784810126582</v>
      </c>
      <c r="Y23" s="2">
        <v>0.81081081081081097</v>
      </c>
      <c r="Z23" s="4">
        <v>44</v>
      </c>
      <c r="AA23" s="2">
        <v>1</v>
      </c>
      <c r="AB23" s="2">
        <v>-3.9634022981064297E-2</v>
      </c>
      <c r="AC23" s="2">
        <v>-1.4857236837755E-2</v>
      </c>
      <c r="AD23" s="2">
        <v>1.51633157358714E-2</v>
      </c>
      <c r="AE23" s="2">
        <v>5.0000000000000001E-3</v>
      </c>
      <c r="AF23" s="6">
        <v>2.14323661638121</v>
      </c>
      <c r="AG23" s="1">
        <v>0.78354141778130304</v>
      </c>
      <c r="AH23" s="1">
        <v>0.94977442853526095</v>
      </c>
      <c r="AI23" s="1" t="s">
        <v>60</v>
      </c>
      <c r="AJ23" s="1" t="s">
        <v>56</v>
      </c>
      <c r="AK23" s="2">
        <v>1.23073227284429E-2</v>
      </c>
    </row>
    <row r="24" spans="1:37" ht="28.8" x14ac:dyDescent="0.3">
      <c r="A24" s="4">
        <v>19</v>
      </c>
      <c r="B24" s="1" t="s">
        <v>88</v>
      </c>
      <c r="C24" s="4">
        <v>1</v>
      </c>
      <c r="D24" s="4">
        <v>18</v>
      </c>
      <c r="E24" s="6">
        <v>52.977777777777803</v>
      </c>
      <c r="F24" s="4">
        <v>2</v>
      </c>
      <c r="G24" s="1" t="s">
        <v>227</v>
      </c>
      <c r="H24" s="1" t="s">
        <v>225</v>
      </c>
      <c r="I24" s="1" t="s">
        <v>226</v>
      </c>
      <c r="J24" s="1"/>
      <c r="K24" s="6">
        <v>80</v>
      </c>
      <c r="L24" s="4">
        <v>1</v>
      </c>
      <c r="M24" s="6">
        <v>24.4444444444444</v>
      </c>
      <c r="N24" s="4">
        <v>4</v>
      </c>
      <c r="O24" s="6">
        <v>80.2222222222222</v>
      </c>
      <c r="P24" s="4">
        <v>1</v>
      </c>
      <c r="Q24" s="6">
        <v>36</v>
      </c>
      <c r="R24" s="4">
        <v>3</v>
      </c>
      <c r="S24" s="6">
        <v>58.2222222222222</v>
      </c>
      <c r="T24" s="4">
        <v>2</v>
      </c>
      <c r="U24" s="6">
        <v>20</v>
      </c>
      <c r="V24" s="6">
        <v>60</v>
      </c>
      <c r="W24" s="2">
        <v>1.1640520720932499E-2</v>
      </c>
      <c r="X24" s="2">
        <v>0.68888888888888899</v>
      </c>
      <c r="Y24" s="2">
        <v>0.67500000000000004</v>
      </c>
      <c r="Z24" s="4">
        <v>10</v>
      </c>
      <c r="AA24" s="2">
        <v>1</v>
      </c>
      <c r="AB24" s="2">
        <v>-9.3371373907642496E-3</v>
      </c>
      <c r="AC24" s="2">
        <v>-5.1326479330331002E-3</v>
      </c>
      <c r="AD24" s="2">
        <v>8.7928949133560495E-3</v>
      </c>
      <c r="AE24" s="2">
        <v>7.0000000000000001E-3</v>
      </c>
      <c r="AF24" s="6">
        <v>1.6629315315617801</v>
      </c>
      <c r="AG24" s="1">
        <v>0.67488179717260599</v>
      </c>
      <c r="AH24" s="1">
        <v>0.88832464319441795</v>
      </c>
      <c r="AI24" s="1" t="s">
        <v>55</v>
      </c>
      <c r="AJ24" s="1" t="s">
        <v>73</v>
      </c>
      <c r="AK24" s="2">
        <v>8.8488328256270208E-3</v>
      </c>
    </row>
    <row r="25" spans="1:37" x14ac:dyDescent="0.3">
      <c r="A25" s="4">
        <v>20</v>
      </c>
      <c r="B25" s="1" t="s">
        <v>65</v>
      </c>
      <c r="C25" s="4">
        <v>1</v>
      </c>
      <c r="D25" s="4">
        <v>19</v>
      </c>
      <c r="E25" s="6">
        <v>52.177777777777798</v>
      </c>
      <c r="F25" s="4">
        <v>2</v>
      </c>
      <c r="G25" s="1" t="s">
        <v>227</v>
      </c>
      <c r="H25" s="1" t="s">
        <v>225</v>
      </c>
      <c r="I25" s="1" t="s">
        <v>228</v>
      </c>
      <c r="J25" s="1" t="s">
        <v>229</v>
      </c>
      <c r="K25" s="6">
        <v>93.3333333333333</v>
      </c>
      <c r="L25" s="4">
        <v>1</v>
      </c>
      <c r="M25" s="6">
        <v>59.5555555555556</v>
      </c>
      <c r="N25" s="4">
        <v>2</v>
      </c>
      <c r="O25" s="6">
        <v>21.1111111111111</v>
      </c>
      <c r="P25" s="4">
        <v>4</v>
      </c>
      <c r="Q25" s="6">
        <v>39.1111111111111</v>
      </c>
      <c r="R25" s="4">
        <v>3</v>
      </c>
      <c r="S25" s="6">
        <v>46.2222222222222</v>
      </c>
      <c r="T25" s="4">
        <v>3</v>
      </c>
      <c r="U25" s="6">
        <v>13.3333333333333</v>
      </c>
      <c r="V25" s="6">
        <v>77.7777777777778</v>
      </c>
      <c r="W25" s="2">
        <v>1.46020932624509E-2</v>
      </c>
      <c r="X25" s="2">
        <v>0.82352941176470595</v>
      </c>
      <c r="Y25" s="2">
        <v>0.83636363636363598</v>
      </c>
      <c r="Z25" s="4">
        <v>135</v>
      </c>
      <c r="AA25" s="2">
        <v>0.97777777777777797</v>
      </c>
      <c r="AB25" s="2">
        <v>-4.8843098617436999E-2</v>
      </c>
      <c r="AC25" s="2">
        <v>-2.8368086009277E-2</v>
      </c>
      <c r="AD25" s="2">
        <v>1.76708724885297E-2</v>
      </c>
      <c r="AE25" s="2">
        <v>7.4999999999999997E-3</v>
      </c>
      <c r="AF25" s="6">
        <v>1.9469457683267799</v>
      </c>
      <c r="AG25" s="1">
        <v>0.69951045242834398</v>
      </c>
      <c r="AH25" s="1">
        <v>0.91306156506546998</v>
      </c>
      <c r="AI25" s="1" t="s">
        <v>68</v>
      </c>
      <c r="AJ25" s="1" t="s">
        <v>56</v>
      </c>
      <c r="AK25" s="2">
        <v>1.5657323218568699E-2</v>
      </c>
    </row>
    <row r="26" spans="1:37" ht="28.8" x14ac:dyDescent="0.3">
      <c r="A26" s="4">
        <v>21</v>
      </c>
      <c r="B26" s="1" t="s">
        <v>136</v>
      </c>
      <c r="C26" s="4">
        <v>1</v>
      </c>
      <c r="D26" s="4">
        <v>20</v>
      </c>
      <c r="E26" s="6">
        <v>51.622222222222199</v>
      </c>
      <c r="F26" s="4">
        <v>2</v>
      </c>
      <c r="G26" s="1" t="s">
        <v>227</v>
      </c>
      <c r="H26" s="1" t="s">
        <v>225</v>
      </c>
      <c r="I26" s="1" t="s">
        <v>226</v>
      </c>
      <c r="J26" s="1"/>
      <c r="K26" s="6">
        <v>24.4444444444444</v>
      </c>
      <c r="L26" s="4">
        <v>3</v>
      </c>
      <c r="M26" s="6">
        <v>56.4444444444444</v>
      </c>
      <c r="N26" s="4">
        <v>2</v>
      </c>
      <c r="O26" s="6">
        <v>59.7777777777778</v>
      </c>
      <c r="P26" s="4">
        <v>2</v>
      </c>
      <c r="Q26" s="6">
        <v>72.8888888888889</v>
      </c>
      <c r="R26" s="4">
        <v>1</v>
      </c>
      <c r="S26" s="6">
        <v>24.4444444444444</v>
      </c>
      <c r="T26" s="4">
        <v>3</v>
      </c>
      <c r="U26" s="6">
        <v>88.8888888888889</v>
      </c>
      <c r="V26" s="6">
        <v>48.8888888888889</v>
      </c>
      <c r="W26" s="2">
        <v>5.7123384506463397E-3</v>
      </c>
      <c r="X26" s="2">
        <v>0.84782608695652195</v>
      </c>
      <c r="Y26" s="2">
        <v>0.90225563909774398</v>
      </c>
      <c r="Z26" s="4">
        <v>103</v>
      </c>
      <c r="AA26" s="2">
        <v>0.80582524271844702</v>
      </c>
      <c r="AB26" s="2">
        <v>-3.8312121119175799E-2</v>
      </c>
      <c r="AC26" s="2">
        <v>-1.2550737102426299E-2</v>
      </c>
      <c r="AD26" s="2">
        <v>9.6619173537263597E-3</v>
      </c>
      <c r="AE26" s="2">
        <v>4.0000000000000001E-3</v>
      </c>
      <c r="AF26" s="6">
        <v>1.42808461266158</v>
      </c>
      <c r="AG26" s="1">
        <v>0.70975360685112998</v>
      </c>
      <c r="AH26" s="1">
        <v>0.97285999599388495</v>
      </c>
      <c r="AI26" s="1" t="s">
        <v>133</v>
      </c>
      <c r="AJ26" s="1" t="s">
        <v>73</v>
      </c>
      <c r="AK26" s="2">
        <v>1.14157435034933E-2</v>
      </c>
    </row>
    <row r="27" spans="1:37" ht="28.8" x14ac:dyDescent="0.3">
      <c r="A27" s="4">
        <v>22</v>
      </c>
      <c r="B27" s="1" t="s">
        <v>82</v>
      </c>
      <c r="C27" s="4">
        <v>1</v>
      </c>
      <c r="D27" s="4">
        <v>21</v>
      </c>
      <c r="E27" s="6">
        <v>49.8</v>
      </c>
      <c r="F27" s="4">
        <v>2</v>
      </c>
      <c r="G27" s="1" t="s">
        <v>227</v>
      </c>
      <c r="H27" s="1" t="s">
        <v>225</v>
      </c>
      <c r="I27" s="1" t="s">
        <v>226</v>
      </c>
      <c r="J27" s="1"/>
      <c r="K27" s="6">
        <v>84.4444444444444</v>
      </c>
      <c r="L27" s="4">
        <v>1</v>
      </c>
      <c r="M27" s="6">
        <v>31.1111111111111</v>
      </c>
      <c r="N27" s="4">
        <v>3</v>
      </c>
      <c r="O27" s="6">
        <v>36.6666666666667</v>
      </c>
      <c r="P27" s="4">
        <v>3</v>
      </c>
      <c r="Q27" s="6">
        <v>39.5555555555556</v>
      </c>
      <c r="R27" s="4">
        <v>3</v>
      </c>
      <c r="S27" s="6">
        <v>79.1111111111111</v>
      </c>
      <c r="T27" s="4">
        <v>1</v>
      </c>
      <c r="U27" s="6">
        <v>20</v>
      </c>
      <c r="V27" s="6">
        <v>68.8888888888889</v>
      </c>
      <c r="W27" s="2">
        <v>1.22482927103595E-2</v>
      </c>
      <c r="X27" s="2">
        <v>0.74025974025973995</v>
      </c>
      <c r="Y27" s="2">
        <v>0.70833333333333304</v>
      </c>
      <c r="Z27" s="4">
        <v>42</v>
      </c>
      <c r="AA27" s="2">
        <v>0.97619047619047605</v>
      </c>
      <c r="AB27" s="2">
        <v>-3.6924829030356002E-2</v>
      </c>
      <c r="AC27" s="2">
        <v>-1.83587719248153E-2</v>
      </c>
      <c r="AD27" s="2">
        <v>1.8240093286721E-2</v>
      </c>
      <c r="AE27" s="2">
        <v>7.0000000000000001E-3</v>
      </c>
      <c r="AF27" s="6">
        <v>1.7497561014799301</v>
      </c>
      <c r="AG27" s="1">
        <v>0.59883664542302995</v>
      </c>
      <c r="AH27" s="1">
        <v>0.82253178340879196</v>
      </c>
      <c r="AI27" s="1" t="s">
        <v>85</v>
      </c>
      <c r="AJ27" s="1" t="s">
        <v>56</v>
      </c>
      <c r="AK27" s="2">
        <v>1.9182427824284701E-2</v>
      </c>
    </row>
    <row r="28" spans="1:37" ht="28.8" x14ac:dyDescent="0.3">
      <c r="A28" s="4">
        <v>23</v>
      </c>
      <c r="B28" s="1" t="s">
        <v>148</v>
      </c>
      <c r="C28" s="4">
        <v>1</v>
      </c>
      <c r="D28" s="4">
        <v>22</v>
      </c>
      <c r="E28" s="6">
        <v>49.6</v>
      </c>
      <c r="F28" s="4">
        <v>2</v>
      </c>
      <c r="G28" s="1" t="s">
        <v>227</v>
      </c>
      <c r="H28" s="1" t="s">
        <v>225</v>
      </c>
      <c r="I28" s="1" t="s">
        <v>226</v>
      </c>
      <c r="J28" s="1"/>
      <c r="K28" s="6">
        <v>35.5555555555556</v>
      </c>
      <c r="L28" s="4">
        <v>3</v>
      </c>
      <c r="M28" s="6">
        <v>34.2222222222222</v>
      </c>
      <c r="N28" s="4">
        <v>3</v>
      </c>
      <c r="O28" s="6">
        <v>72.4444444444444</v>
      </c>
      <c r="P28" s="4">
        <v>1</v>
      </c>
      <c r="Q28" s="6">
        <v>54.6666666666667</v>
      </c>
      <c r="R28" s="4">
        <v>2</v>
      </c>
      <c r="S28" s="6">
        <v>57.7777777777778</v>
      </c>
      <c r="T28" s="4">
        <v>2</v>
      </c>
      <c r="U28" s="6">
        <v>60</v>
      </c>
      <c r="V28" s="6">
        <v>46.6666666666667</v>
      </c>
      <c r="W28" s="2">
        <v>6.9007935514053802E-3</v>
      </c>
      <c r="X28" s="2">
        <v>0.72881355932203395</v>
      </c>
      <c r="Y28" s="2">
        <v>0.75925925925925897</v>
      </c>
      <c r="Z28" s="4">
        <v>24</v>
      </c>
      <c r="AA28" s="2">
        <v>1</v>
      </c>
      <c r="AB28" s="2">
        <v>-2.5316076221288002E-2</v>
      </c>
      <c r="AC28" s="2">
        <v>-7.9204181338429994E-3</v>
      </c>
      <c r="AD28" s="2">
        <v>9.0082078546017894E-3</v>
      </c>
      <c r="AE28" s="2">
        <v>5.0000000000000001E-3</v>
      </c>
      <c r="AF28" s="6">
        <v>1.3801587102810799</v>
      </c>
      <c r="AG28" s="1">
        <v>0.67503185899169005</v>
      </c>
      <c r="AH28" s="1">
        <v>0.88742264248421598</v>
      </c>
      <c r="AI28" s="1" t="s">
        <v>105</v>
      </c>
      <c r="AJ28" s="1" t="s">
        <v>56</v>
      </c>
      <c r="AK28" s="2">
        <v>7.3033588901654199E-3</v>
      </c>
    </row>
    <row r="29" spans="1:37" x14ac:dyDescent="0.3">
      <c r="A29" s="4">
        <v>24</v>
      </c>
      <c r="B29" s="1" t="s">
        <v>123</v>
      </c>
      <c r="C29" s="4">
        <v>1</v>
      </c>
      <c r="D29" s="4">
        <v>23</v>
      </c>
      <c r="E29" s="6">
        <v>48.533333333333303</v>
      </c>
      <c r="F29" s="4">
        <v>2</v>
      </c>
      <c r="G29" s="1" t="s">
        <v>227</v>
      </c>
      <c r="H29" s="1" t="s">
        <v>225</v>
      </c>
      <c r="I29" s="1" t="s">
        <v>228</v>
      </c>
      <c r="J29" s="1" t="s">
        <v>229</v>
      </c>
      <c r="K29" s="6">
        <v>53.3333333333333</v>
      </c>
      <c r="L29" s="4">
        <v>2</v>
      </c>
      <c r="M29" s="6">
        <v>60.8888888888889</v>
      </c>
      <c r="N29" s="4">
        <v>2</v>
      </c>
      <c r="O29" s="6">
        <v>17.7777777777778</v>
      </c>
      <c r="P29" s="4">
        <v>4</v>
      </c>
      <c r="Q29" s="6">
        <v>60.8888888888889</v>
      </c>
      <c r="R29" s="4">
        <v>1</v>
      </c>
      <c r="S29" s="6">
        <v>38.6666666666667</v>
      </c>
      <c r="T29" s="4">
        <v>3</v>
      </c>
      <c r="U29" s="6">
        <v>60</v>
      </c>
      <c r="V29" s="6">
        <v>62.2222222222222</v>
      </c>
      <c r="W29" s="2">
        <v>8.52278966414932E-3</v>
      </c>
      <c r="X29" s="2">
        <v>0.87356321839080497</v>
      </c>
      <c r="Y29" s="2">
        <v>0.82248520710059203</v>
      </c>
      <c r="Z29" s="4">
        <v>139</v>
      </c>
      <c r="AA29" s="2">
        <v>0.86330935251798602</v>
      </c>
      <c r="AB29" s="2">
        <v>-7.1291624866032396E-2</v>
      </c>
      <c r="AC29" s="2">
        <v>-2.6154891209579201E-2</v>
      </c>
      <c r="AD29" s="2">
        <v>1.47422885454705E-2</v>
      </c>
      <c r="AE29" s="2">
        <v>5.0000000000000001E-3</v>
      </c>
      <c r="AF29" s="6">
        <v>1.7045579328298599</v>
      </c>
      <c r="AG29" s="1">
        <v>0.72019445639484403</v>
      </c>
      <c r="AH29" s="1">
        <v>0.91754495695121296</v>
      </c>
      <c r="AI29" s="1" t="s">
        <v>126</v>
      </c>
      <c r="AJ29" s="1" t="s">
        <v>56</v>
      </c>
      <c r="AK29" s="2">
        <v>1.14847392839404E-2</v>
      </c>
    </row>
    <row r="30" spans="1:37" x14ac:dyDescent="0.3">
      <c r="A30" s="4">
        <v>25</v>
      </c>
      <c r="B30" s="1" t="s">
        <v>163</v>
      </c>
      <c r="C30" s="4">
        <v>1</v>
      </c>
      <c r="D30" s="4">
        <v>24</v>
      </c>
      <c r="E30" s="6">
        <v>45.911111111111097</v>
      </c>
      <c r="F30" s="4">
        <v>3</v>
      </c>
      <c r="G30" s="1" t="s">
        <v>230</v>
      </c>
      <c r="H30" s="1" t="s">
        <v>225</v>
      </c>
      <c r="I30" s="1" t="s">
        <v>230</v>
      </c>
      <c r="J30" s="1"/>
      <c r="K30" s="6">
        <v>22.2222222222222</v>
      </c>
      <c r="L30" s="4">
        <v>4</v>
      </c>
      <c r="M30" s="6">
        <v>74.2222222222222</v>
      </c>
      <c r="N30" s="4">
        <v>1</v>
      </c>
      <c r="O30" s="6">
        <v>38.6666666666667</v>
      </c>
      <c r="P30" s="4">
        <v>3</v>
      </c>
      <c r="Q30" s="6">
        <v>48.4444444444444</v>
      </c>
      <c r="R30" s="4">
        <v>2</v>
      </c>
      <c r="S30" s="6">
        <v>30.6666666666667</v>
      </c>
      <c r="T30" s="4">
        <v>3</v>
      </c>
      <c r="U30" s="6">
        <v>60</v>
      </c>
      <c r="V30" s="6">
        <v>31.1111111111111</v>
      </c>
      <c r="W30" s="2">
        <v>5.5825902062469597E-3</v>
      </c>
      <c r="X30" s="2">
        <v>0.88995215311004805</v>
      </c>
      <c r="Y30" s="2">
        <v>0.87745098039215697</v>
      </c>
      <c r="Z30" s="4">
        <v>174</v>
      </c>
      <c r="AA30" s="2">
        <v>0.96551724137931005</v>
      </c>
      <c r="AB30" s="2">
        <v>-4.7793512975684599E-2</v>
      </c>
      <c r="AC30" s="2">
        <v>-2.0142677428424401E-2</v>
      </c>
      <c r="AD30" s="2">
        <v>1.12772805547471E-2</v>
      </c>
      <c r="AE30" s="2">
        <v>5.0000000000000001E-3</v>
      </c>
      <c r="AF30" s="6">
        <v>1.11651804124939</v>
      </c>
      <c r="AG30" s="1">
        <v>0.74260610049989495</v>
      </c>
      <c r="AH30" s="1">
        <v>0.90914053967939001</v>
      </c>
      <c r="AI30" s="1" t="s">
        <v>94</v>
      </c>
      <c r="AJ30" s="1" t="s">
        <v>56</v>
      </c>
      <c r="AK30" s="2">
        <v>8.9607996908776001E-3</v>
      </c>
    </row>
    <row r="31" spans="1:37" x14ac:dyDescent="0.3">
      <c r="A31" s="4">
        <v>26</v>
      </c>
      <c r="B31" s="1" t="s">
        <v>105</v>
      </c>
      <c r="C31" s="4">
        <v>1</v>
      </c>
      <c r="D31" s="4">
        <v>25</v>
      </c>
      <c r="E31" s="6">
        <v>42.933333333333302</v>
      </c>
      <c r="F31" s="4">
        <v>3</v>
      </c>
      <c r="G31" s="1" t="s">
        <v>230</v>
      </c>
      <c r="H31" s="1" t="s">
        <v>225</v>
      </c>
      <c r="I31" s="1" t="s">
        <v>230</v>
      </c>
      <c r="J31" s="1"/>
      <c r="K31" s="6">
        <v>44.4444444444444</v>
      </c>
      <c r="L31" s="4">
        <v>3</v>
      </c>
      <c r="M31" s="6">
        <v>64.8888888888889</v>
      </c>
      <c r="N31" s="4">
        <v>1</v>
      </c>
      <c r="O31" s="6">
        <v>51.5555555555556</v>
      </c>
      <c r="P31" s="4">
        <v>2</v>
      </c>
      <c r="Q31" s="6">
        <v>17.7777777777778</v>
      </c>
      <c r="R31" s="4">
        <v>4</v>
      </c>
      <c r="S31" s="6">
        <v>30.6666666666667</v>
      </c>
      <c r="T31" s="4">
        <v>3</v>
      </c>
      <c r="U31" s="6">
        <v>13.3333333333333</v>
      </c>
      <c r="V31" s="6">
        <v>24.4444444444444</v>
      </c>
      <c r="W31" s="2">
        <v>7.1682375996473501E-3</v>
      </c>
      <c r="X31" s="2">
        <v>0.85714285714285698</v>
      </c>
      <c r="Y31" s="2">
        <v>0.85454545454545405</v>
      </c>
      <c r="Z31" s="4">
        <v>245</v>
      </c>
      <c r="AA31" s="2">
        <v>0.93469387755101996</v>
      </c>
      <c r="AB31" s="2">
        <v>-4.3902342788538301E-2</v>
      </c>
      <c r="AC31" s="2">
        <v>-1.82152299557117E-2</v>
      </c>
      <c r="AD31" s="2">
        <v>8.8285447320677907E-3</v>
      </c>
      <c r="AE31" s="2">
        <v>7.4999999999999997E-3</v>
      </c>
      <c r="AF31" s="6">
        <v>0.95576501328631402</v>
      </c>
      <c r="AG31" s="1">
        <v>0.72918515387652305</v>
      </c>
      <c r="AH31" s="1">
        <v>0.93823194685549804</v>
      </c>
      <c r="AI31" s="1" t="s">
        <v>94</v>
      </c>
      <c r="AJ31" s="1" t="s">
        <v>56</v>
      </c>
      <c r="AK31" s="2">
        <v>1.06255815988803E-2</v>
      </c>
    </row>
    <row r="32" spans="1:37" x14ac:dyDescent="0.3">
      <c r="A32" s="4">
        <v>27</v>
      </c>
      <c r="B32" s="1" t="s">
        <v>141</v>
      </c>
      <c r="C32" s="4">
        <v>1</v>
      </c>
      <c r="D32" s="4">
        <v>26</v>
      </c>
      <c r="E32" s="6">
        <v>42.4444444444444</v>
      </c>
      <c r="F32" s="4">
        <v>3</v>
      </c>
      <c r="G32" s="1" t="s">
        <v>230</v>
      </c>
      <c r="H32" s="1" t="s">
        <v>225</v>
      </c>
      <c r="I32" s="1" t="s">
        <v>230</v>
      </c>
      <c r="J32" s="1"/>
      <c r="K32" s="6">
        <v>40</v>
      </c>
      <c r="L32" s="4">
        <v>3</v>
      </c>
      <c r="M32" s="6">
        <v>43.5555555555556</v>
      </c>
      <c r="N32" s="4">
        <v>3</v>
      </c>
      <c r="O32" s="6">
        <v>48.2222222222222</v>
      </c>
      <c r="P32" s="4">
        <v>2</v>
      </c>
      <c r="Q32" s="6">
        <v>32</v>
      </c>
      <c r="R32" s="4">
        <v>4</v>
      </c>
      <c r="S32" s="6">
        <v>59.1111111111111</v>
      </c>
      <c r="T32" s="4">
        <v>2</v>
      </c>
      <c r="U32" s="6">
        <v>31.1111111111111</v>
      </c>
      <c r="V32" s="6">
        <v>33.3333333333333</v>
      </c>
      <c r="W32" s="2">
        <v>6.9569483330984604E-3</v>
      </c>
      <c r="X32" s="2">
        <v>0.76470588235294101</v>
      </c>
      <c r="Y32" s="2">
        <v>0.76249999999999996</v>
      </c>
      <c r="Z32" s="4">
        <v>50</v>
      </c>
      <c r="AA32" s="2">
        <v>1</v>
      </c>
      <c r="AB32" s="2">
        <v>-2.8661131545165901E-2</v>
      </c>
      <c r="AC32" s="2">
        <v>-1.7602818401164899E-2</v>
      </c>
      <c r="AD32" s="2">
        <v>1.48610750235873E-2</v>
      </c>
      <c r="AE32" s="2">
        <v>6.0000000000000001E-3</v>
      </c>
      <c r="AF32" s="6">
        <v>1.15949138884974</v>
      </c>
      <c r="AG32" s="1">
        <v>0.64800008977526902</v>
      </c>
      <c r="AH32" s="1">
        <v>0.91206950604015902</v>
      </c>
      <c r="AI32" s="1" t="s">
        <v>95</v>
      </c>
      <c r="AJ32" s="1" t="s">
        <v>56</v>
      </c>
      <c r="AK32" s="2">
        <v>1.39698406612207E-2</v>
      </c>
    </row>
    <row r="33" spans="1:37" x14ac:dyDescent="0.3">
      <c r="A33" s="4">
        <v>28</v>
      </c>
      <c r="B33" s="1" t="s">
        <v>127</v>
      </c>
      <c r="C33" s="4">
        <v>1</v>
      </c>
      <c r="D33" s="4">
        <v>27</v>
      </c>
      <c r="E33" s="6">
        <v>42.244444444444397</v>
      </c>
      <c r="F33" s="4">
        <v>3</v>
      </c>
      <c r="G33" s="1" t="s">
        <v>230</v>
      </c>
      <c r="H33" s="1" t="s">
        <v>225</v>
      </c>
      <c r="I33" s="1" t="s">
        <v>230</v>
      </c>
      <c r="J33" s="1"/>
      <c r="K33" s="6">
        <v>51.1111111111111</v>
      </c>
      <c r="L33" s="4">
        <v>2</v>
      </c>
      <c r="M33" s="6">
        <v>36</v>
      </c>
      <c r="N33" s="4">
        <v>3</v>
      </c>
      <c r="O33" s="6">
        <v>53.1111111111111</v>
      </c>
      <c r="P33" s="4">
        <v>2</v>
      </c>
      <c r="Q33" s="6">
        <v>36.4444444444444</v>
      </c>
      <c r="R33" s="4">
        <v>3</v>
      </c>
      <c r="S33" s="6">
        <v>32.8888888888889</v>
      </c>
      <c r="T33" s="4">
        <v>3</v>
      </c>
      <c r="U33" s="6">
        <v>31.1111111111111</v>
      </c>
      <c r="V33" s="6">
        <v>44.4444444444444</v>
      </c>
      <c r="W33" s="2">
        <v>8.2011728520796599E-3</v>
      </c>
      <c r="X33" s="2">
        <v>0.75903614457831303</v>
      </c>
      <c r="Y33" s="2">
        <v>0.70512820512820495</v>
      </c>
      <c r="Z33" s="4">
        <v>48</v>
      </c>
      <c r="AA33" s="2">
        <v>1</v>
      </c>
      <c r="AB33" s="2">
        <v>-3.2559762517832297E-2</v>
      </c>
      <c r="AC33" s="2">
        <v>-1.2863003868377401E-2</v>
      </c>
      <c r="AD33" s="2">
        <v>1.3938199838728399E-2</v>
      </c>
      <c r="AE33" s="2">
        <v>6.0000000000000001E-3</v>
      </c>
      <c r="AF33" s="6">
        <v>1.36686214201328</v>
      </c>
      <c r="AG33" s="1">
        <v>0.72979261419880903</v>
      </c>
      <c r="AH33" s="1">
        <v>0.93153191828674897</v>
      </c>
      <c r="AI33" s="1" t="s">
        <v>108</v>
      </c>
      <c r="AJ33" s="1" t="s">
        <v>56</v>
      </c>
      <c r="AK33" s="2">
        <v>1.2649598285158801E-2</v>
      </c>
    </row>
    <row r="34" spans="1:37" x14ac:dyDescent="0.3">
      <c r="A34" s="4">
        <v>29</v>
      </c>
      <c r="B34" s="1" t="s">
        <v>91</v>
      </c>
      <c r="C34" s="4">
        <v>1</v>
      </c>
      <c r="D34" s="4">
        <v>28</v>
      </c>
      <c r="E34" s="6">
        <v>42.2</v>
      </c>
      <c r="F34" s="4">
        <v>3</v>
      </c>
      <c r="G34" s="1" t="s">
        <v>230</v>
      </c>
      <c r="H34" s="1" t="s">
        <v>225</v>
      </c>
      <c r="I34" s="1" t="s">
        <v>230</v>
      </c>
      <c r="J34" s="1"/>
      <c r="K34" s="6">
        <v>77.7777777777778</v>
      </c>
      <c r="L34" s="4">
        <v>1</v>
      </c>
      <c r="M34" s="6">
        <v>39.5555555555556</v>
      </c>
      <c r="N34" s="4">
        <v>3</v>
      </c>
      <c r="O34" s="6">
        <v>17.5555555555556</v>
      </c>
      <c r="P34" s="4">
        <v>4</v>
      </c>
      <c r="Q34" s="6">
        <v>31.1111111111111</v>
      </c>
      <c r="R34" s="4">
        <v>4</v>
      </c>
      <c r="S34" s="6">
        <v>54.6666666666667</v>
      </c>
      <c r="T34" s="4">
        <v>2</v>
      </c>
      <c r="U34" s="6">
        <v>13.3333333333333</v>
      </c>
      <c r="V34" s="6">
        <v>57.7777777777778</v>
      </c>
      <c r="W34" s="2">
        <v>1.1518561926476399E-2</v>
      </c>
      <c r="X34" s="2">
        <v>0.77500000000000002</v>
      </c>
      <c r="Y34" s="2">
        <v>0.75652173913043497</v>
      </c>
      <c r="Z34" s="4">
        <v>85</v>
      </c>
      <c r="AA34" s="2">
        <v>0.94117647058823495</v>
      </c>
      <c r="AB34" s="2">
        <v>-5.5240966189303499E-2</v>
      </c>
      <c r="AC34" s="2">
        <v>-2.37318221570956E-2</v>
      </c>
      <c r="AD34" s="2">
        <v>1.9443110250204999E-2</v>
      </c>
      <c r="AE34" s="2">
        <v>7.4999999999999997E-3</v>
      </c>
      <c r="AF34" s="6">
        <v>1.5358082568635201</v>
      </c>
      <c r="AG34" s="1">
        <v>0.68145619599183505</v>
      </c>
      <c r="AH34" s="1">
        <v>0.89094209816615499</v>
      </c>
      <c r="AI34" s="1" t="s">
        <v>94</v>
      </c>
      <c r="AJ34" s="1" t="s">
        <v>56</v>
      </c>
      <c r="AK34" s="2">
        <v>1.3132799691523299E-2</v>
      </c>
    </row>
    <row r="35" spans="1:37" x14ac:dyDescent="0.3">
      <c r="A35" s="4">
        <v>30</v>
      </c>
      <c r="B35" s="1" t="s">
        <v>180</v>
      </c>
      <c r="C35" s="4">
        <v>4</v>
      </c>
      <c r="D35" s="4">
        <v>1</v>
      </c>
      <c r="E35" s="6">
        <v>41.577777777777797</v>
      </c>
      <c r="F35" s="4">
        <v>3</v>
      </c>
      <c r="G35" s="1" t="s">
        <v>230</v>
      </c>
      <c r="H35" s="1" t="s">
        <v>225</v>
      </c>
      <c r="I35" s="1" t="s">
        <v>230</v>
      </c>
      <c r="J35" s="1"/>
      <c r="K35" s="6">
        <v>6.6666666666666696</v>
      </c>
      <c r="L35" s="4">
        <v>4</v>
      </c>
      <c r="M35" s="6">
        <v>24.8888888888889</v>
      </c>
      <c r="N35" s="4">
        <v>4</v>
      </c>
      <c r="O35" s="6">
        <v>96.2222222222222</v>
      </c>
      <c r="P35" s="4">
        <v>1</v>
      </c>
      <c r="Q35" s="6">
        <v>20</v>
      </c>
      <c r="R35" s="4">
        <v>4</v>
      </c>
      <c r="S35" s="6">
        <v>97.7777777777778</v>
      </c>
      <c r="T35" s="4">
        <v>1</v>
      </c>
      <c r="U35" s="6">
        <v>28.8888888888889</v>
      </c>
      <c r="V35" s="6">
        <v>6.6666666666666696</v>
      </c>
      <c r="W35" s="2">
        <v>2.23419217738541E-3</v>
      </c>
      <c r="X35" s="2">
        <v>0.56756756756756799</v>
      </c>
      <c r="Y35" s="2">
        <v>0.71875</v>
      </c>
      <c r="Z35" s="4">
        <v>2</v>
      </c>
      <c r="AA35" s="2">
        <v>1</v>
      </c>
      <c r="AB35" s="2">
        <v>-4.7838092729463001E-3</v>
      </c>
      <c r="AC35" s="2">
        <v>-1.97843287485196E-3</v>
      </c>
      <c r="AD35" s="2">
        <v>3.2772548516368E-3</v>
      </c>
      <c r="AE35" s="2">
        <v>6.4000000000000003E-3</v>
      </c>
      <c r="AF35" s="6">
        <v>0.34909252771646998</v>
      </c>
      <c r="AG35" s="1">
        <v>0.27438466370750297</v>
      </c>
      <c r="AH35" s="1">
        <v>0.58782513030225503</v>
      </c>
      <c r="AI35" s="1" t="s">
        <v>108</v>
      </c>
      <c r="AJ35" s="1" t="s">
        <v>73</v>
      </c>
      <c r="AK35" s="2">
        <v>3.5313977214825199E-3</v>
      </c>
    </row>
    <row r="36" spans="1:37" x14ac:dyDescent="0.3">
      <c r="A36" s="4">
        <v>31</v>
      </c>
      <c r="B36" s="1" t="s">
        <v>158</v>
      </c>
      <c r="C36" s="4">
        <v>1</v>
      </c>
      <c r="D36" s="4">
        <v>29</v>
      </c>
      <c r="E36" s="6">
        <v>41.244444444444397</v>
      </c>
      <c r="F36" s="4">
        <v>3</v>
      </c>
      <c r="G36" s="1" t="s">
        <v>230</v>
      </c>
      <c r="H36" s="1" t="s">
        <v>225</v>
      </c>
      <c r="I36" s="1" t="s">
        <v>230</v>
      </c>
      <c r="J36" s="1"/>
      <c r="K36" s="6">
        <v>20</v>
      </c>
      <c r="L36" s="4">
        <v>4</v>
      </c>
      <c r="M36" s="6">
        <v>28.8888888888889</v>
      </c>
      <c r="N36" s="4">
        <v>4</v>
      </c>
      <c r="O36" s="6">
        <v>16</v>
      </c>
      <c r="P36" s="4">
        <v>4</v>
      </c>
      <c r="Q36" s="6">
        <v>94.6666666666667</v>
      </c>
      <c r="R36" s="4">
        <v>1</v>
      </c>
      <c r="S36" s="6">
        <v>31.5555555555556</v>
      </c>
      <c r="T36" s="4">
        <v>3</v>
      </c>
      <c r="U36" s="6">
        <v>100</v>
      </c>
      <c r="V36" s="6">
        <v>86.6666666666667</v>
      </c>
      <c r="W36" s="2">
        <v>5.5530382228334797E-3</v>
      </c>
      <c r="X36" s="2">
        <v>0.75531914893617003</v>
      </c>
      <c r="Y36" s="2">
        <v>0.74157303370786498</v>
      </c>
      <c r="Z36" s="4">
        <v>59</v>
      </c>
      <c r="AA36" s="2">
        <v>0.91525423728813604</v>
      </c>
      <c r="AB36" s="2">
        <v>-7.0098395189480897E-2</v>
      </c>
      <c r="AC36" s="2">
        <v>-2.3088381196805001E-2</v>
      </c>
      <c r="AD36" s="2">
        <v>1.9349258077634501E-2</v>
      </c>
      <c r="AE36" s="2">
        <v>2.5000000000000001E-3</v>
      </c>
      <c r="AF36" s="6">
        <v>2.2212152891333901</v>
      </c>
      <c r="AG36" s="1">
        <v>0.69697206080811502</v>
      </c>
      <c r="AH36" s="1">
        <v>0.97045917221098499</v>
      </c>
      <c r="AI36" s="1" t="s">
        <v>155</v>
      </c>
      <c r="AJ36" s="1" t="s">
        <v>56</v>
      </c>
      <c r="AK36" s="2">
        <v>1.44909515157596E-2</v>
      </c>
    </row>
    <row r="37" spans="1:37" x14ac:dyDescent="0.3">
      <c r="A37" s="4">
        <v>32</v>
      </c>
      <c r="B37" s="1" t="s">
        <v>117</v>
      </c>
      <c r="C37" s="4">
        <v>1</v>
      </c>
      <c r="D37" s="4">
        <v>30</v>
      </c>
      <c r="E37" s="6">
        <v>41.177777777777798</v>
      </c>
      <c r="F37" s="4">
        <v>3</v>
      </c>
      <c r="G37" s="1" t="s">
        <v>230</v>
      </c>
      <c r="H37" s="1" t="s">
        <v>225</v>
      </c>
      <c r="I37" s="1" t="s">
        <v>230</v>
      </c>
      <c r="J37" s="1"/>
      <c r="K37" s="6">
        <v>57.7777777777778</v>
      </c>
      <c r="L37" s="4">
        <v>2</v>
      </c>
      <c r="M37" s="6">
        <v>52.8888888888889</v>
      </c>
      <c r="N37" s="4">
        <v>2</v>
      </c>
      <c r="O37" s="6">
        <v>22.4444444444444</v>
      </c>
      <c r="P37" s="4">
        <v>4</v>
      </c>
      <c r="Q37" s="6">
        <v>39.1111111111111</v>
      </c>
      <c r="R37" s="4">
        <v>3</v>
      </c>
      <c r="S37" s="6">
        <v>21.3333333333333</v>
      </c>
      <c r="T37" s="4">
        <v>4</v>
      </c>
      <c r="U37" s="6">
        <v>31.1111111111111</v>
      </c>
      <c r="V37" s="6">
        <v>51.1111111111111</v>
      </c>
      <c r="W37" s="2">
        <v>8.9707211827596608E-3</v>
      </c>
      <c r="X37" s="2">
        <v>0.83333333333333304</v>
      </c>
      <c r="Y37" s="2">
        <v>0.72602739726027399</v>
      </c>
      <c r="Z37" s="4">
        <v>43</v>
      </c>
      <c r="AA37" s="2">
        <v>1</v>
      </c>
      <c r="AB37" s="2">
        <v>-4.5017961884867501E-2</v>
      </c>
      <c r="AC37" s="2">
        <v>-2.3116882041681198E-2</v>
      </c>
      <c r="AD37" s="2">
        <v>2.16677768586956E-2</v>
      </c>
      <c r="AE37" s="2">
        <v>6.0000000000000001E-3</v>
      </c>
      <c r="AF37" s="6">
        <v>1.4951201971266099</v>
      </c>
      <c r="AG37" s="1">
        <v>0.74235554400251502</v>
      </c>
      <c r="AH37" s="1">
        <v>0.94570902910023602</v>
      </c>
      <c r="AI37" s="1" t="s">
        <v>98</v>
      </c>
      <c r="AJ37" s="1" t="s">
        <v>56</v>
      </c>
      <c r="AK37" s="2">
        <v>7.9965143765385101E-3</v>
      </c>
    </row>
    <row r="38" spans="1:37" x14ac:dyDescent="0.3">
      <c r="A38" s="4">
        <v>33</v>
      </c>
      <c r="B38" s="1" t="s">
        <v>111</v>
      </c>
      <c r="C38" s="4">
        <v>1</v>
      </c>
      <c r="D38" s="4">
        <v>31</v>
      </c>
      <c r="E38" s="6">
        <v>40.711111111111101</v>
      </c>
      <c r="F38" s="4">
        <v>3</v>
      </c>
      <c r="G38" s="1" t="s">
        <v>230</v>
      </c>
      <c r="H38" s="1" t="s">
        <v>225</v>
      </c>
      <c r="I38" s="1" t="s">
        <v>230</v>
      </c>
      <c r="J38" s="1"/>
      <c r="K38" s="6">
        <v>62.2222222222222</v>
      </c>
      <c r="L38" s="4">
        <v>2</v>
      </c>
      <c r="M38" s="6">
        <v>47.1111111111111</v>
      </c>
      <c r="N38" s="4">
        <v>2</v>
      </c>
      <c r="O38" s="6">
        <v>22.6666666666667</v>
      </c>
      <c r="P38" s="4">
        <v>3</v>
      </c>
      <c r="Q38" s="6">
        <v>40.8888888888889</v>
      </c>
      <c r="R38" s="4">
        <v>2</v>
      </c>
      <c r="S38" s="6">
        <v>17.3333333333333</v>
      </c>
      <c r="T38" s="4">
        <v>4</v>
      </c>
      <c r="U38" s="6">
        <v>31.1111111111111</v>
      </c>
      <c r="V38" s="6">
        <v>55.5555555555556</v>
      </c>
      <c r="W38" s="2">
        <v>9.1650652069936705E-3</v>
      </c>
      <c r="X38" s="2">
        <v>0.82499999999999996</v>
      </c>
      <c r="Y38" s="2">
        <v>0.77391304347826095</v>
      </c>
      <c r="Z38" s="4">
        <v>85</v>
      </c>
      <c r="AA38" s="2">
        <v>0.90588235294117603</v>
      </c>
      <c r="AB38" s="2">
        <v>-5.7623439801843299E-2</v>
      </c>
      <c r="AC38" s="2">
        <v>-2.18779599837414E-2</v>
      </c>
      <c r="AD38" s="2">
        <v>1.7654902834929199E-2</v>
      </c>
      <c r="AE38" s="2">
        <v>6.0000000000000001E-3</v>
      </c>
      <c r="AF38" s="6">
        <v>1.52751086783228</v>
      </c>
      <c r="AG38" s="1">
        <v>0.738794123834975</v>
      </c>
      <c r="AH38" s="1">
        <v>0.96737963132042004</v>
      </c>
      <c r="AI38" s="1" t="s">
        <v>77</v>
      </c>
      <c r="AJ38" s="1" t="s">
        <v>56</v>
      </c>
      <c r="AK38" s="2">
        <v>7.7989562968813304E-3</v>
      </c>
    </row>
    <row r="39" spans="1:37" x14ac:dyDescent="0.3">
      <c r="A39" s="4">
        <v>34</v>
      </c>
      <c r="B39" s="1" t="s">
        <v>159</v>
      </c>
      <c r="C39" s="4">
        <v>5</v>
      </c>
      <c r="D39" s="4">
        <v>1</v>
      </c>
      <c r="E39" s="6">
        <v>39.511111111111099</v>
      </c>
      <c r="F39" s="4">
        <v>3</v>
      </c>
      <c r="G39" s="1" t="s">
        <v>230</v>
      </c>
      <c r="H39" s="1" t="s">
        <v>225</v>
      </c>
      <c r="I39" s="1" t="s">
        <v>230</v>
      </c>
      <c r="J39" s="1"/>
      <c r="K39" s="6">
        <v>26.6666666666667</v>
      </c>
      <c r="L39" s="4">
        <v>3</v>
      </c>
      <c r="M39" s="6">
        <v>26.2222222222222</v>
      </c>
      <c r="N39" s="4">
        <v>4</v>
      </c>
      <c r="O39" s="6">
        <v>27.5555555555556</v>
      </c>
      <c r="P39" s="4">
        <v>3</v>
      </c>
      <c r="Q39" s="6">
        <v>50.2222222222222</v>
      </c>
      <c r="R39" s="4">
        <v>2</v>
      </c>
      <c r="S39" s="6">
        <v>95.5555555555555</v>
      </c>
      <c r="T39" s="4">
        <v>1</v>
      </c>
      <c r="U39" s="6">
        <v>60</v>
      </c>
      <c r="V39" s="6">
        <v>35.5555555555556</v>
      </c>
      <c r="W39" s="2">
        <v>5.92515724831122E-3</v>
      </c>
      <c r="X39" s="2">
        <v>0.78082191780821897</v>
      </c>
      <c r="Y39" s="2">
        <v>0.696864111498258</v>
      </c>
      <c r="Z39" s="4">
        <v>257</v>
      </c>
      <c r="AA39" s="2">
        <v>0.76653696498054502</v>
      </c>
      <c r="AB39" s="2">
        <v>-5.1259975189644799E-2</v>
      </c>
      <c r="AC39" s="2">
        <v>-1.72045453373398E-2</v>
      </c>
      <c r="AD39" s="2">
        <v>2.14801715614064E-2</v>
      </c>
      <c r="AE39" s="2">
        <v>5.0000000000000001E-3</v>
      </c>
      <c r="AF39" s="6">
        <v>1.1850314496622401</v>
      </c>
      <c r="AG39" s="1">
        <v>0.26340623992788997</v>
      </c>
      <c r="AH39" s="1">
        <v>0.79334963312111995</v>
      </c>
      <c r="AI39" s="1" t="s">
        <v>148</v>
      </c>
      <c r="AJ39" s="1" t="s">
        <v>73</v>
      </c>
      <c r="AK39" s="2">
        <v>2.2814719771690899E-2</v>
      </c>
    </row>
    <row r="40" spans="1:37" x14ac:dyDescent="0.3">
      <c r="A40" s="4">
        <v>35</v>
      </c>
      <c r="B40" s="1" t="s">
        <v>155</v>
      </c>
      <c r="C40" s="4">
        <v>1</v>
      </c>
      <c r="D40" s="4">
        <v>32</v>
      </c>
      <c r="E40" s="6">
        <v>39.1111111111111</v>
      </c>
      <c r="F40" s="4">
        <v>3</v>
      </c>
      <c r="G40" s="1" t="s">
        <v>230</v>
      </c>
      <c r="H40" s="1" t="s">
        <v>225</v>
      </c>
      <c r="I40" s="1" t="s">
        <v>228</v>
      </c>
      <c r="J40" s="1" t="s">
        <v>231</v>
      </c>
      <c r="K40" s="6">
        <v>28.8888888888889</v>
      </c>
      <c r="L40" s="4">
        <v>3</v>
      </c>
      <c r="M40" s="6">
        <v>54.6666666666667</v>
      </c>
      <c r="N40" s="4">
        <v>2</v>
      </c>
      <c r="O40" s="6">
        <v>18.4444444444444</v>
      </c>
      <c r="P40" s="4">
        <v>4</v>
      </c>
      <c r="Q40" s="6">
        <v>52.8888888888889</v>
      </c>
      <c r="R40" s="4">
        <v>2</v>
      </c>
      <c r="S40" s="6">
        <v>27.5555555555556</v>
      </c>
      <c r="T40" s="4">
        <v>3</v>
      </c>
      <c r="U40" s="6">
        <v>60</v>
      </c>
      <c r="V40" s="6">
        <v>42.2222222222222</v>
      </c>
      <c r="W40" s="2">
        <v>6.3797037613007E-3</v>
      </c>
      <c r="X40" s="2">
        <v>0.84269662921348298</v>
      </c>
      <c r="Y40" s="2">
        <v>0.86127167630057799</v>
      </c>
      <c r="Z40" s="4">
        <v>143</v>
      </c>
      <c r="AA40" s="2">
        <v>0.83216783216783197</v>
      </c>
      <c r="AB40" s="2">
        <v>-7.6098323052052705E-2</v>
      </c>
      <c r="AC40" s="2">
        <v>-2.3750786577920398E-2</v>
      </c>
      <c r="AD40" s="2">
        <v>1.43399601299965E-2</v>
      </c>
      <c r="AE40" s="2">
        <v>5.0000000000000001E-3</v>
      </c>
      <c r="AF40" s="6">
        <v>1.27594075226014</v>
      </c>
      <c r="AG40" s="1">
        <v>0.70233221098892096</v>
      </c>
      <c r="AH40" s="1">
        <v>0.97045917221098499</v>
      </c>
      <c r="AI40" s="1" t="s">
        <v>158</v>
      </c>
      <c r="AJ40" s="1" t="s">
        <v>56</v>
      </c>
      <c r="AK40" s="2">
        <v>1.1069326127421401E-2</v>
      </c>
    </row>
    <row r="41" spans="1:37" x14ac:dyDescent="0.3">
      <c r="A41" s="4">
        <v>36</v>
      </c>
      <c r="B41" s="1" t="s">
        <v>171</v>
      </c>
      <c r="C41" s="4">
        <v>5</v>
      </c>
      <c r="D41" s="4">
        <v>2</v>
      </c>
      <c r="E41" s="6">
        <v>38.4</v>
      </c>
      <c r="F41" s="4">
        <v>4</v>
      </c>
      <c r="G41" s="1" t="s">
        <v>232</v>
      </c>
      <c r="H41" s="1" t="s">
        <v>225</v>
      </c>
      <c r="I41" s="1" t="s">
        <v>232</v>
      </c>
      <c r="J41" s="1"/>
      <c r="K41" s="6">
        <v>15.5555555555556</v>
      </c>
      <c r="L41" s="4">
        <v>4</v>
      </c>
      <c r="M41" s="6">
        <v>14.6666666666667</v>
      </c>
      <c r="N41" s="4">
        <v>4</v>
      </c>
      <c r="O41" s="6">
        <v>60</v>
      </c>
      <c r="P41" s="4">
        <v>2</v>
      </c>
      <c r="Q41" s="6">
        <v>42.2222222222222</v>
      </c>
      <c r="R41" s="4">
        <v>2</v>
      </c>
      <c r="S41" s="6">
        <v>90.6666666666667</v>
      </c>
      <c r="T41" s="4">
        <v>1</v>
      </c>
      <c r="U41" s="6">
        <v>60</v>
      </c>
      <c r="V41" s="6">
        <v>15.5555555555556</v>
      </c>
      <c r="W41" s="2">
        <v>4.1249068278288404E-3</v>
      </c>
      <c r="X41" s="2">
        <v>0.73214285714285698</v>
      </c>
      <c r="Y41" s="2">
        <v>0.60784313725490202</v>
      </c>
      <c r="Z41" s="4">
        <v>21</v>
      </c>
      <c r="AA41" s="2">
        <v>0.80952380952380998</v>
      </c>
      <c r="AB41" s="2">
        <v>-3.0505516576453801E-2</v>
      </c>
      <c r="AC41" s="2">
        <v>-9.9677502742507498E-3</v>
      </c>
      <c r="AD41" s="2">
        <v>1.1755080651530201E-2</v>
      </c>
      <c r="AE41" s="2">
        <v>5.0000000000000001E-3</v>
      </c>
      <c r="AF41" s="6">
        <v>0.82498136556576895</v>
      </c>
      <c r="AG41" s="1">
        <v>0.48548630642794999</v>
      </c>
      <c r="AH41" s="1">
        <v>0.80083842370837999</v>
      </c>
      <c r="AI41" s="1" t="s">
        <v>98</v>
      </c>
      <c r="AJ41" s="1" t="s">
        <v>56</v>
      </c>
      <c r="AK41" s="2">
        <v>1.0299469442430299E-2</v>
      </c>
    </row>
    <row r="42" spans="1:37" x14ac:dyDescent="0.3">
      <c r="A42" s="4">
        <v>37</v>
      </c>
      <c r="B42" s="1" t="s">
        <v>168</v>
      </c>
      <c r="C42" s="4">
        <v>1</v>
      </c>
      <c r="D42" s="4">
        <v>33</v>
      </c>
      <c r="E42" s="6">
        <v>36.866666666666703</v>
      </c>
      <c r="F42" s="4">
        <v>4</v>
      </c>
      <c r="G42" s="1" t="s">
        <v>232</v>
      </c>
      <c r="H42" s="1" t="s">
        <v>225</v>
      </c>
      <c r="I42" s="1" t="s">
        <v>232</v>
      </c>
      <c r="J42" s="1"/>
      <c r="K42" s="6">
        <v>17.7777777777778</v>
      </c>
      <c r="L42" s="4">
        <v>4</v>
      </c>
      <c r="M42" s="6">
        <v>40</v>
      </c>
      <c r="N42" s="4">
        <v>3</v>
      </c>
      <c r="O42" s="6">
        <v>44.8888888888889</v>
      </c>
      <c r="P42" s="4">
        <v>3</v>
      </c>
      <c r="Q42" s="6">
        <v>44.8888888888889</v>
      </c>
      <c r="R42" s="4">
        <v>2</v>
      </c>
      <c r="S42" s="6">
        <v>31.1111111111111</v>
      </c>
      <c r="T42" s="4">
        <v>3</v>
      </c>
      <c r="U42" s="6">
        <v>60</v>
      </c>
      <c r="V42" s="6">
        <v>22.2222222222222</v>
      </c>
      <c r="W42" s="2">
        <v>4.4882212449950396E-3</v>
      </c>
      <c r="X42" s="2">
        <v>0.79</v>
      </c>
      <c r="Y42" s="2">
        <v>0.77948717948717905</v>
      </c>
      <c r="Z42" s="4">
        <v>165</v>
      </c>
      <c r="AA42" s="2">
        <v>0.84848484848484895</v>
      </c>
      <c r="AB42" s="2">
        <v>-4.6508134918707901E-2</v>
      </c>
      <c r="AC42" s="2">
        <v>-1.8164782216881399E-2</v>
      </c>
      <c r="AD42" s="2">
        <v>1.0279731284525201E-2</v>
      </c>
      <c r="AE42" s="2">
        <v>5.0000000000000001E-3</v>
      </c>
      <c r="AF42" s="6">
        <v>0.89764424899900797</v>
      </c>
      <c r="AG42" s="1">
        <v>0.72644136001445803</v>
      </c>
      <c r="AH42" s="1">
        <v>0.94222400312555099</v>
      </c>
      <c r="AI42" s="1" t="s">
        <v>94</v>
      </c>
      <c r="AJ42" s="1" t="s">
        <v>56</v>
      </c>
      <c r="AK42" s="2">
        <v>1.07811596644053E-2</v>
      </c>
    </row>
    <row r="43" spans="1:37" x14ac:dyDescent="0.3">
      <c r="A43" s="4">
        <v>38</v>
      </c>
      <c r="B43" s="1" t="s">
        <v>94</v>
      </c>
      <c r="C43" s="4">
        <v>1</v>
      </c>
      <c r="D43" s="4">
        <v>34</v>
      </c>
      <c r="E43" s="6">
        <v>34.4444444444444</v>
      </c>
      <c r="F43" s="4">
        <v>4</v>
      </c>
      <c r="G43" s="1" t="s">
        <v>232</v>
      </c>
      <c r="H43" s="1" t="s">
        <v>225</v>
      </c>
      <c r="I43" s="1" t="s">
        <v>232</v>
      </c>
      <c r="J43" s="1"/>
      <c r="K43" s="6">
        <v>8.8888888888888893</v>
      </c>
      <c r="L43" s="4">
        <v>4</v>
      </c>
      <c r="M43" s="6">
        <v>26.2222222222222</v>
      </c>
      <c r="N43" s="4">
        <v>4</v>
      </c>
      <c r="O43" s="6">
        <v>43.3333333333333</v>
      </c>
      <c r="P43" s="4">
        <v>3</v>
      </c>
      <c r="Q43" s="6">
        <v>65.3333333333333</v>
      </c>
      <c r="R43" s="4">
        <v>1</v>
      </c>
      <c r="S43" s="6">
        <v>11.1111111111111</v>
      </c>
      <c r="T43" s="4">
        <v>4</v>
      </c>
      <c r="U43" s="6">
        <v>95.5555555555556</v>
      </c>
      <c r="V43" s="6">
        <v>20</v>
      </c>
      <c r="W43" s="2">
        <v>2.73341331819976E-3</v>
      </c>
      <c r="X43" s="2">
        <v>0.77118644067796605</v>
      </c>
      <c r="Y43" s="2">
        <v>0.71681415929203496</v>
      </c>
      <c r="Z43" s="4">
        <v>83</v>
      </c>
      <c r="AA43" s="2">
        <v>0.80722891566265098</v>
      </c>
      <c r="AB43" s="2">
        <v>-4.4759887488435998E-2</v>
      </c>
      <c r="AC43" s="2">
        <v>-1.7661197510049902E-2</v>
      </c>
      <c r="AD43" s="2">
        <v>1.22088996513182E-2</v>
      </c>
      <c r="AE43" s="2">
        <v>3.0999999999999999E-3</v>
      </c>
      <c r="AF43" s="6">
        <v>0.88174623167734301</v>
      </c>
      <c r="AG43" s="1">
        <v>0.77177768980943395</v>
      </c>
      <c r="AH43" s="1">
        <v>0.94824020048132596</v>
      </c>
      <c r="AI43" s="1" t="s">
        <v>68</v>
      </c>
      <c r="AJ43" s="1" t="s">
        <v>56</v>
      </c>
      <c r="AK43" s="2">
        <v>1.1344320217214701E-2</v>
      </c>
    </row>
    <row r="44" spans="1:37" x14ac:dyDescent="0.3">
      <c r="A44" s="4">
        <v>39</v>
      </c>
      <c r="B44" s="1" t="s">
        <v>64</v>
      </c>
      <c r="C44" s="4">
        <v>1</v>
      </c>
      <c r="D44" s="4">
        <v>35</v>
      </c>
      <c r="E44" s="6">
        <v>33.644444444444403</v>
      </c>
      <c r="F44" s="4">
        <v>4</v>
      </c>
      <c r="G44" s="1" t="s">
        <v>232</v>
      </c>
      <c r="H44" s="1" t="s">
        <v>225</v>
      </c>
      <c r="I44" s="1" t="s">
        <v>232</v>
      </c>
      <c r="J44" s="1"/>
      <c r="K44" s="6">
        <v>33.3333333333333</v>
      </c>
      <c r="L44" s="4">
        <v>3</v>
      </c>
      <c r="M44" s="6">
        <v>39.1111111111111</v>
      </c>
      <c r="N44" s="4">
        <v>3</v>
      </c>
      <c r="O44" s="6">
        <v>37.7777777777778</v>
      </c>
      <c r="P44" s="4">
        <v>3</v>
      </c>
      <c r="Q44" s="6">
        <v>30.2222222222222</v>
      </c>
      <c r="R44" s="4">
        <v>4</v>
      </c>
      <c r="S44" s="6">
        <v>20.8888888888889</v>
      </c>
      <c r="T44" s="4">
        <v>4</v>
      </c>
      <c r="U44" s="6">
        <v>31.1111111111111</v>
      </c>
      <c r="V44" s="6">
        <v>28.8888888888889</v>
      </c>
      <c r="W44" s="2">
        <v>6.6255571027644703E-3</v>
      </c>
      <c r="X44" s="2">
        <v>0.77777777777777801</v>
      </c>
      <c r="Y44" s="2">
        <v>0.80722891566265098</v>
      </c>
      <c r="Z44" s="4">
        <v>136</v>
      </c>
      <c r="AA44" s="2">
        <v>0.86029411764705899</v>
      </c>
      <c r="AB44" s="2">
        <v>-5.2358526464477598E-2</v>
      </c>
      <c r="AC44" s="2">
        <v>-1.8311156766739001E-2</v>
      </c>
      <c r="AD44" s="2">
        <v>1.10973973438377E-2</v>
      </c>
      <c r="AE44" s="2">
        <v>6.0000000000000001E-3</v>
      </c>
      <c r="AF44" s="6">
        <v>1.1042595171274101</v>
      </c>
      <c r="AG44" s="1">
        <v>0.75735348985843598</v>
      </c>
      <c r="AH44" s="1">
        <v>0.93667933207627496</v>
      </c>
      <c r="AI44" s="1" t="s">
        <v>68</v>
      </c>
      <c r="AJ44" s="1" t="s">
        <v>56</v>
      </c>
      <c r="AK44" s="2">
        <v>1.0391522323652799E-2</v>
      </c>
    </row>
    <row r="45" spans="1:37" ht="43.2" x14ac:dyDescent="0.3">
      <c r="A45" s="4">
        <v>40</v>
      </c>
      <c r="B45" s="1" t="s">
        <v>189</v>
      </c>
      <c r="C45" s="4">
        <v>1</v>
      </c>
      <c r="D45" s="4">
        <v>36</v>
      </c>
      <c r="E45" s="6">
        <v>28.911111111111101</v>
      </c>
      <c r="F45" s="4">
        <v>4</v>
      </c>
      <c r="G45" s="1" t="s">
        <v>232</v>
      </c>
      <c r="H45" s="1" t="s">
        <v>225</v>
      </c>
      <c r="I45" s="1" t="s">
        <v>228</v>
      </c>
      <c r="J45" s="1" t="s">
        <v>233</v>
      </c>
      <c r="K45" s="6">
        <v>0</v>
      </c>
      <c r="L45" s="4">
        <v>4</v>
      </c>
      <c r="M45" s="6">
        <v>0.88888888888888895</v>
      </c>
      <c r="N45" s="4">
        <v>4</v>
      </c>
      <c r="O45" s="6">
        <v>64.6666666666667</v>
      </c>
      <c r="P45" s="4">
        <v>2</v>
      </c>
      <c r="Q45" s="6">
        <v>36</v>
      </c>
      <c r="R45" s="4">
        <v>3</v>
      </c>
      <c r="S45" s="6">
        <v>67.5555555555555</v>
      </c>
      <c r="T45" s="4">
        <v>2</v>
      </c>
      <c r="U45" s="6">
        <v>60</v>
      </c>
      <c r="V45" s="6">
        <v>0</v>
      </c>
      <c r="W45" s="2">
        <v>-3.7485562382431098E-3</v>
      </c>
      <c r="X45" s="2">
        <v>0.63265306122449005</v>
      </c>
      <c r="Y45" s="2">
        <v>0.47727272727272702</v>
      </c>
      <c r="Z45" s="4">
        <v>14</v>
      </c>
      <c r="AA45" s="2">
        <v>0.214285714285714</v>
      </c>
      <c r="AB45" s="2">
        <v>-2.7779772443295499E-2</v>
      </c>
      <c r="AC45" s="2">
        <v>-7.8096222600016699E-3</v>
      </c>
      <c r="AD45" s="2">
        <v>1.1302809027055299E-2</v>
      </c>
      <c r="AE45" s="2">
        <v>5.0000000000000001E-3</v>
      </c>
      <c r="AF45" s="6">
        <v>-0.74971124764862096</v>
      </c>
      <c r="AG45" s="1">
        <v>0.67391847949046901</v>
      </c>
      <c r="AH45" s="1">
        <v>0.83454875848244503</v>
      </c>
      <c r="AI45" s="1" t="s">
        <v>163</v>
      </c>
      <c r="AJ45" s="1" t="s">
        <v>56</v>
      </c>
      <c r="AK45" s="2">
        <v>7.4099852180754596E-3</v>
      </c>
    </row>
    <row r="46" spans="1:37" x14ac:dyDescent="0.3">
      <c r="A46" s="4">
        <v>41</v>
      </c>
      <c r="B46" s="1" t="s">
        <v>60</v>
      </c>
      <c r="C46" s="4">
        <v>1</v>
      </c>
      <c r="D46" s="4">
        <v>37</v>
      </c>
      <c r="E46" s="6">
        <v>28.8888888888889</v>
      </c>
      <c r="F46" s="4">
        <v>4</v>
      </c>
      <c r="G46" s="1" t="s">
        <v>232</v>
      </c>
      <c r="H46" s="1" t="s">
        <v>225</v>
      </c>
      <c r="I46" s="1" t="s">
        <v>228</v>
      </c>
      <c r="J46" s="1" t="s">
        <v>231</v>
      </c>
      <c r="K46" s="6">
        <v>13.3333333333333</v>
      </c>
      <c r="L46" s="4">
        <v>4</v>
      </c>
      <c r="M46" s="6">
        <v>46.6666666666667</v>
      </c>
      <c r="N46" s="4">
        <v>2</v>
      </c>
      <c r="O46" s="6">
        <v>15.5555555555556</v>
      </c>
      <c r="P46" s="4">
        <v>4</v>
      </c>
      <c r="Q46" s="6">
        <v>41.3333333333333</v>
      </c>
      <c r="R46" s="4">
        <v>2</v>
      </c>
      <c r="S46" s="6">
        <v>11.1111111111111</v>
      </c>
      <c r="T46" s="4">
        <v>4</v>
      </c>
      <c r="U46" s="6">
        <v>60</v>
      </c>
      <c r="V46" s="6">
        <v>13.3333333333333</v>
      </c>
      <c r="W46" s="2">
        <v>3.72435757265399E-3</v>
      </c>
      <c r="X46" s="2">
        <v>0.84967320261437895</v>
      </c>
      <c r="Y46" s="2">
        <v>0.81081081081081097</v>
      </c>
      <c r="Z46" s="4">
        <v>118</v>
      </c>
      <c r="AA46" s="2">
        <v>0.69491525423728795</v>
      </c>
      <c r="AB46" s="2">
        <v>-7.2342578536391006E-2</v>
      </c>
      <c r="AC46" s="2">
        <v>-2.4467219087055202E-2</v>
      </c>
      <c r="AD46" s="2">
        <v>1.6469760109150699E-2</v>
      </c>
      <c r="AE46" s="2">
        <v>5.0000000000000001E-3</v>
      </c>
      <c r="AF46" s="6">
        <v>0.74487151453079803</v>
      </c>
      <c r="AG46" s="1">
        <v>0.76095358903168198</v>
      </c>
      <c r="AH46" s="1">
        <v>0.94977442853526095</v>
      </c>
      <c r="AI46" s="1" t="s">
        <v>68</v>
      </c>
      <c r="AJ46" s="1" t="s">
        <v>56</v>
      </c>
      <c r="AK46" s="2">
        <v>8.5274503416976292E-3</v>
      </c>
    </row>
    <row r="47" spans="1:37" x14ac:dyDescent="0.3">
      <c r="A47" s="4">
        <v>42</v>
      </c>
      <c r="B47" s="1" t="s">
        <v>183</v>
      </c>
      <c r="C47" s="4">
        <v>2</v>
      </c>
      <c r="D47" s="4">
        <v>1</v>
      </c>
      <c r="E47" s="6">
        <v>25.822222222222202</v>
      </c>
      <c r="F47" s="4">
        <v>4</v>
      </c>
      <c r="G47" s="1" t="s">
        <v>232</v>
      </c>
      <c r="H47" s="1" t="s">
        <v>225</v>
      </c>
      <c r="I47" s="1" t="s">
        <v>228</v>
      </c>
      <c r="J47" s="1" t="s">
        <v>231</v>
      </c>
      <c r="K47" s="6">
        <v>4.4444444444444402</v>
      </c>
      <c r="L47" s="4">
        <v>4</v>
      </c>
      <c r="M47" s="6">
        <v>5.3333333333333304</v>
      </c>
      <c r="N47" s="4">
        <v>4</v>
      </c>
      <c r="O47" s="6">
        <v>26</v>
      </c>
      <c r="P47" s="4">
        <v>3</v>
      </c>
      <c r="Q47" s="6">
        <v>36.4444444444444</v>
      </c>
      <c r="R47" s="4">
        <v>3</v>
      </c>
      <c r="S47" s="6">
        <v>92.8888888888889</v>
      </c>
      <c r="T47" s="4">
        <v>1</v>
      </c>
      <c r="U47" s="6">
        <v>57.7777777777778</v>
      </c>
      <c r="V47" s="6">
        <v>4.4444444444444402</v>
      </c>
      <c r="W47" s="2">
        <v>5.4871570170522699E-4</v>
      </c>
      <c r="X47" s="2">
        <v>0.63571428571428601</v>
      </c>
      <c r="Y47" s="2">
        <v>0.65925925925925899</v>
      </c>
      <c r="Z47" s="4">
        <v>105</v>
      </c>
      <c r="AA47" s="2">
        <v>0.74285714285714299</v>
      </c>
      <c r="AB47" s="2">
        <v>-9.3036667502153003E-2</v>
      </c>
      <c r="AC47" s="2">
        <v>-1.71308668083377E-2</v>
      </c>
      <c r="AD47" s="2">
        <v>1.46819255190886E-2</v>
      </c>
      <c r="AE47" s="2">
        <v>5.4999999999999997E-3</v>
      </c>
      <c r="AF47" s="6">
        <v>9.9766491219132197E-2</v>
      </c>
      <c r="AG47" s="1">
        <v>0.503520731690277</v>
      </c>
      <c r="AH47" s="1">
        <v>0.69047573794898398</v>
      </c>
      <c r="AI47" s="1" t="s">
        <v>126</v>
      </c>
      <c r="AJ47" s="1" t="s">
        <v>73</v>
      </c>
      <c r="AK47" s="2">
        <v>1.54803780082033E-2</v>
      </c>
    </row>
    <row r="48" spans="1:37" x14ac:dyDescent="0.3">
      <c r="A48" s="4">
        <v>43</v>
      </c>
      <c r="B48" s="1" t="s">
        <v>145</v>
      </c>
      <c r="C48" s="4">
        <v>1</v>
      </c>
      <c r="D48" s="4">
        <v>38</v>
      </c>
      <c r="E48" s="6">
        <v>24.511111111111099</v>
      </c>
      <c r="F48" s="4">
        <v>4</v>
      </c>
      <c r="G48" s="1" t="s">
        <v>232</v>
      </c>
      <c r="H48" s="1" t="s">
        <v>225</v>
      </c>
      <c r="I48" s="1" t="s">
        <v>228</v>
      </c>
      <c r="J48" s="1" t="s">
        <v>229</v>
      </c>
      <c r="K48" s="6">
        <v>37.7777777777778</v>
      </c>
      <c r="L48" s="4">
        <v>3</v>
      </c>
      <c r="M48" s="6">
        <v>39.5555555555556</v>
      </c>
      <c r="N48" s="4">
        <v>3</v>
      </c>
      <c r="O48" s="6">
        <v>8.2222222222222197</v>
      </c>
      <c r="P48" s="4">
        <v>4</v>
      </c>
      <c r="Q48" s="6">
        <v>12.4444444444444</v>
      </c>
      <c r="R48" s="4">
        <v>4</v>
      </c>
      <c r="S48" s="6">
        <v>23.1111111111111</v>
      </c>
      <c r="T48" s="4">
        <v>4</v>
      </c>
      <c r="U48" s="6">
        <v>8.8888888888888893</v>
      </c>
      <c r="V48" s="6">
        <v>17.7777777777778</v>
      </c>
      <c r="W48" s="2">
        <v>6.9437123409608103E-3</v>
      </c>
      <c r="X48" s="2">
        <v>0.75308641975308599</v>
      </c>
      <c r="Y48" s="2">
        <v>0.77631578947368396</v>
      </c>
      <c r="Z48" s="4">
        <v>46</v>
      </c>
      <c r="AA48" s="2">
        <v>1</v>
      </c>
      <c r="AB48" s="2">
        <v>-6.2464229924488301E-2</v>
      </c>
      <c r="AC48" s="2">
        <v>-2.9329096217569701E-2</v>
      </c>
      <c r="AD48" s="2">
        <v>2.72029779508547E-2</v>
      </c>
      <c r="AE48" s="2">
        <v>8.0000000000000002E-3</v>
      </c>
      <c r="AF48" s="6">
        <v>0.86796404262010096</v>
      </c>
      <c r="AG48" s="1">
        <v>0.75204025154572796</v>
      </c>
      <c r="AH48" s="1">
        <v>0.93351241101155902</v>
      </c>
      <c r="AI48" s="1" t="s">
        <v>68</v>
      </c>
      <c r="AJ48" s="1" t="s">
        <v>56</v>
      </c>
      <c r="AK48" s="2">
        <v>1.0050333272425801E-2</v>
      </c>
    </row>
    <row r="49" spans="1:37" x14ac:dyDescent="0.3">
      <c r="A49" s="4">
        <v>44</v>
      </c>
      <c r="B49" s="1" t="s">
        <v>126</v>
      </c>
      <c r="C49" s="4">
        <v>1</v>
      </c>
      <c r="D49" s="4">
        <v>39</v>
      </c>
      <c r="E49" s="6">
        <v>23.933333333333302</v>
      </c>
      <c r="F49" s="4">
        <v>4</v>
      </c>
      <c r="G49" s="1" t="s">
        <v>232</v>
      </c>
      <c r="H49" s="1" t="s">
        <v>225</v>
      </c>
      <c r="I49" s="1" t="s">
        <v>232</v>
      </c>
      <c r="J49" s="1"/>
      <c r="K49" s="6">
        <v>11.1111111111111</v>
      </c>
      <c r="L49" s="4">
        <v>4</v>
      </c>
      <c r="M49" s="6">
        <v>17.7777777777778</v>
      </c>
      <c r="N49" s="4">
        <v>4</v>
      </c>
      <c r="O49" s="6">
        <v>15.1111111111111</v>
      </c>
      <c r="P49" s="4">
        <v>4</v>
      </c>
      <c r="Q49" s="6">
        <v>40.4444444444444</v>
      </c>
      <c r="R49" s="4">
        <v>3</v>
      </c>
      <c r="S49" s="6">
        <v>41.3333333333333</v>
      </c>
      <c r="T49" s="4">
        <v>3</v>
      </c>
      <c r="U49" s="6">
        <v>60</v>
      </c>
      <c r="V49" s="6">
        <v>11.1111111111111</v>
      </c>
      <c r="W49" s="2">
        <v>3.2434756986952102E-3</v>
      </c>
      <c r="X49" s="2">
        <v>0.75757575757575801</v>
      </c>
      <c r="Y49" s="2">
        <v>0.69148936170212805</v>
      </c>
      <c r="Z49" s="4">
        <v>64</v>
      </c>
      <c r="AA49" s="2">
        <v>0.78125</v>
      </c>
      <c r="AB49" s="2">
        <v>-5.9645473694926898E-2</v>
      </c>
      <c r="AC49" s="2">
        <v>-2.6103919920710501E-2</v>
      </c>
      <c r="AD49" s="2">
        <v>1.9018743053527701E-2</v>
      </c>
      <c r="AE49" s="2">
        <v>5.0000000000000001E-3</v>
      </c>
      <c r="AF49" s="6">
        <v>0.64869513973904203</v>
      </c>
      <c r="AG49" s="1">
        <v>0.70204825729759801</v>
      </c>
      <c r="AH49" s="1">
        <v>0.93346896512002797</v>
      </c>
      <c r="AI49" s="1" t="s">
        <v>94</v>
      </c>
      <c r="AJ49" s="1" t="s">
        <v>56</v>
      </c>
      <c r="AK49" s="2">
        <v>1.40208925480676E-2</v>
      </c>
    </row>
    <row r="50" spans="1:37" ht="28.8" x14ac:dyDescent="0.3">
      <c r="A50" s="4">
        <v>45</v>
      </c>
      <c r="B50" s="1" t="s">
        <v>77</v>
      </c>
      <c r="C50" s="4">
        <v>1</v>
      </c>
      <c r="D50" s="4">
        <v>40</v>
      </c>
      <c r="E50" s="6">
        <v>17.622222222222199</v>
      </c>
      <c r="F50" s="4">
        <v>4</v>
      </c>
      <c r="G50" s="1" t="s">
        <v>232</v>
      </c>
      <c r="H50" s="1" t="s">
        <v>225</v>
      </c>
      <c r="I50" s="1" t="s">
        <v>228</v>
      </c>
      <c r="J50" s="1" t="s">
        <v>234</v>
      </c>
      <c r="K50" s="6">
        <v>31.1111111111111</v>
      </c>
      <c r="L50" s="4">
        <v>3</v>
      </c>
      <c r="M50" s="6">
        <v>30.6666666666667</v>
      </c>
      <c r="N50" s="4">
        <v>4</v>
      </c>
      <c r="O50" s="6">
        <v>0.88888888888888895</v>
      </c>
      <c r="P50" s="4">
        <v>4</v>
      </c>
      <c r="Q50" s="6">
        <v>3.5555555555555598</v>
      </c>
      <c r="R50" s="4">
        <v>4</v>
      </c>
      <c r="S50" s="6">
        <v>26.6666666666667</v>
      </c>
      <c r="T50" s="4">
        <v>3</v>
      </c>
      <c r="U50" s="6">
        <v>0</v>
      </c>
      <c r="V50" s="6">
        <v>8.8888888888888893</v>
      </c>
      <c r="W50" s="2">
        <v>6.4595035659824598E-3</v>
      </c>
      <c r="X50" s="2">
        <v>0.73529411764705899</v>
      </c>
      <c r="Y50" s="2">
        <v>0.76288659793814395</v>
      </c>
      <c r="Z50" s="4">
        <v>67</v>
      </c>
      <c r="AA50" s="2">
        <v>0.92537313432835799</v>
      </c>
      <c r="AB50" s="2">
        <v>-8.9593897131870298E-2</v>
      </c>
      <c r="AC50" s="2">
        <v>-3.4178958880791602E-2</v>
      </c>
      <c r="AD50" s="2">
        <v>3.0466343349788101E-2</v>
      </c>
      <c r="AE50" s="2">
        <v>1.0999999999999999E-2</v>
      </c>
      <c r="AF50" s="6">
        <v>0.58722759690749604</v>
      </c>
      <c r="AG50" s="1">
        <v>0.70977757782498097</v>
      </c>
      <c r="AH50" s="1">
        <v>0.96737963132042004</v>
      </c>
      <c r="AI50" s="1" t="s">
        <v>111</v>
      </c>
      <c r="AJ50" s="1" t="s">
        <v>56</v>
      </c>
      <c r="AK50" s="2">
        <v>1.42139041343402E-2</v>
      </c>
    </row>
    <row r="51" spans="1:37" ht="43.2" x14ac:dyDescent="0.3">
      <c r="A51" s="4">
        <v>46</v>
      </c>
      <c r="B51" s="1" t="s">
        <v>186</v>
      </c>
      <c r="C51" s="4">
        <v>1</v>
      </c>
      <c r="D51" s="4">
        <v>41</v>
      </c>
      <c r="E51" s="6">
        <v>13.466666666666701</v>
      </c>
      <c r="F51" s="4">
        <v>4</v>
      </c>
      <c r="G51" s="1" t="s">
        <v>232</v>
      </c>
      <c r="H51" s="1" t="s">
        <v>225</v>
      </c>
      <c r="I51" s="1" t="s">
        <v>228</v>
      </c>
      <c r="J51" s="1" t="s">
        <v>235</v>
      </c>
      <c r="K51" s="6">
        <v>2.2222222222222201</v>
      </c>
      <c r="L51" s="4">
        <v>4</v>
      </c>
      <c r="M51" s="6">
        <v>8.8888888888888893</v>
      </c>
      <c r="N51" s="4">
        <v>4</v>
      </c>
      <c r="O51" s="6">
        <v>6</v>
      </c>
      <c r="P51" s="4">
        <v>4</v>
      </c>
      <c r="Q51" s="6">
        <v>19.5555555555556</v>
      </c>
      <c r="R51" s="4">
        <v>4</v>
      </c>
      <c r="S51" s="6">
        <v>47.1111111111111</v>
      </c>
      <c r="T51" s="4">
        <v>2</v>
      </c>
      <c r="U51" s="6">
        <v>31.1111111111111</v>
      </c>
      <c r="V51" s="6">
        <v>2.2222222222222201</v>
      </c>
      <c r="W51" s="2">
        <v>-9.7900297089526011E-4</v>
      </c>
      <c r="X51" s="2">
        <v>0.71153846153846201</v>
      </c>
      <c r="Y51" s="2">
        <v>0.69696969696969702</v>
      </c>
      <c r="Z51" s="4">
        <v>69</v>
      </c>
      <c r="AA51" s="2">
        <v>0.50724637681159401</v>
      </c>
      <c r="AB51" s="2">
        <v>-7.4232318191147506E-2</v>
      </c>
      <c r="AC51" s="2">
        <v>-2.9885419198431198E-2</v>
      </c>
      <c r="AD51" s="2">
        <v>2.0442905650478401E-2</v>
      </c>
      <c r="AE51" s="2">
        <v>6.0000000000000001E-3</v>
      </c>
      <c r="AF51" s="6">
        <v>-0.16316716181587701</v>
      </c>
      <c r="AG51" s="1">
        <v>0.68845109332801102</v>
      </c>
      <c r="AH51" s="1">
        <v>0.92835073667007295</v>
      </c>
      <c r="AI51" s="1" t="s">
        <v>168</v>
      </c>
      <c r="AJ51" s="1" t="s">
        <v>56</v>
      </c>
      <c r="AK51" s="2">
        <v>1.4245447180021501E-2</v>
      </c>
    </row>
  </sheetData>
  <mergeCells count="1">
    <mergeCell ref="A1:J1"/>
  </mergeCells>
  <conditionalFormatting sqref="E6:E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Todos os Fundos</vt:lpstr>
      <vt:lpstr>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Análise de fundos high grade</dc:creator>
  <cp:lastModifiedBy>Fernando Jr</cp:lastModifiedBy>
  <dcterms:created xsi:type="dcterms:W3CDTF">2026-07-30T13:34:36Z</dcterms:created>
  <dcterms:modified xsi:type="dcterms:W3CDTF">2026-07-30T16:46:58Z</dcterms:modified>
</cp:coreProperties>
</file>