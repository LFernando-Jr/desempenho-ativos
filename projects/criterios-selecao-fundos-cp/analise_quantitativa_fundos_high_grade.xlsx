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apribr.sharepoint.com/sites/Capri-Gestao/Documentos Partilhados/Análise ativos e ofertas/Fundos de Renda FIxa/"/>
    </mc:Choice>
  </mc:AlternateContent>
  <xr:revisionPtr revIDLastSave="97" documentId="8_{6BCEC65A-221E-4EA6-B435-C4FCD6886378}" xr6:coauthVersionLast="47" xr6:coauthVersionMax="47" xr10:uidLastSave="{9107EBC8-4780-4DF8-8B1A-6D893C056591}"/>
  <bookViews>
    <workbookView xWindow="1965" yWindow="2865" windowWidth="19725" windowHeight="13500" activeTab="1" xr2:uid="{00000000-000D-0000-FFFF-FFFF00000000}"/>
  </bookViews>
  <sheets>
    <sheet name="Resumo Executivo" sheetId="1" r:id="rId1"/>
    <sheet name="Ranking Quantitativo" sheetId="2" r:id="rId2"/>
    <sheet name="Sheet1" sheetId="6" r:id="rId3"/>
    <sheet name="Fundos Cliente" sheetId="3" r:id="rId4"/>
    <sheet name="Base Tratada" sheetId="4" r:id="rId5"/>
    <sheet name="Metodologia" sheetId="5" r:id="rId6"/>
  </sheets>
  <definedNames>
    <definedName name="_xlnm._FilterDatabase" localSheetId="1" hidden="1">'Ranking Quantitativo'!$A$1:$U$54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2" l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<sst xmlns="http://schemas.openxmlformats.org/spreadsheetml/2006/main" count="974" uniqueCount="272">
  <si>
    <t>Análise Quantitativa — Fundos High Grade Acessíveis</t>
  </si>
  <si>
    <t>Leitura executiva</t>
  </si>
  <si>
    <t>A base possui 53 fundos high grade: 46 fundos de mercado e 7 fundos atualmente investidos pelo cliente. A análise quantitativa indica que a cesta do cliente ficou abaixo do universo comparável nas janelas recentes, principalmente em 12 meses, com maior volatilidade e pior drawdown. A leitura de 24–36 meses ainda é melhor para parte da carteira, mas não compensa integralmente a piora recente ajustada a risco.</t>
  </si>
  <si>
    <t>Métrica</t>
  </si>
  <si>
    <t>Mercado — Mediana</t>
  </si>
  <si>
    <t>Cliente — Mediana</t>
  </si>
  <si>
    <t>Diferença Cliente vs. Mercado</t>
  </si>
  <si>
    <t>Conclusões objetivas</t>
  </si>
  <si>
    <t>Ano (% CDI)</t>
  </si>
  <si>
    <t>1. A carteira atual está quantitativamente desfavorecida nas janelas recentes: mediana de 95,1% do CDI em 12M contra 98,7% do CDI no mercado.</t>
  </si>
  <si>
    <t>12 Meses (% CDI)</t>
  </si>
  <si>
    <t>2. A pior relação risco/retorno está concentrada em SPX Seahawk e AZ Quest Altro, com 12M abaixo de 90% do CDI, Sharpe negativo e rankings no fim da amostra.</t>
  </si>
  <si>
    <t>24 Meses (% CDI)</t>
  </si>
  <si>
    <t>3. JGP é o melhor nome entre os fundos do cliente, mas ainda não se destaca contra os melhores fundos de mercado por Sharpe e volatilidade.</t>
  </si>
  <si>
    <t>36 Meses (% CDI)</t>
  </si>
  <si>
    <t>4. Porto, Polo e Sparta mantêm histórico de 24–36M acima do CDI, mas a janela de 12M justifica congelar novos aportes até evidência de recuperação.</t>
  </si>
  <si>
    <t>Volatilidade 12M</t>
  </si>
  <si>
    <t>5. Para substituição quantitativa, os melhores candidatos da amostra são Persevera Yield, BNP Rubi, Daycoval Classic 30, SulAmérica Crédito Ativo, BNP Match Plus 30 e Tivio Institucional 15.</t>
  </si>
  <si>
    <t>Sharpe 12M</t>
  </si>
  <si>
    <t>Drawdown máximo 12M</t>
  </si>
  <si>
    <t>Score Quantitativo</t>
  </si>
  <si>
    <t>Ranking</t>
  </si>
  <si>
    <t>Fundo</t>
  </si>
  <si>
    <t>Gestor</t>
  </si>
  <si>
    <t>Grupo</t>
  </si>
  <si>
    <t>Liquidez</t>
  </si>
  <si>
    <t>12M % CDI</t>
  </si>
  <si>
    <t>24M % CDI</t>
  </si>
  <si>
    <t>36M % CDI</t>
  </si>
  <si>
    <t>Vol 12M</t>
  </si>
  <si>
    <t>Score</t>
  </si>
  <si>
    <t>Persevera Yield FIRF LP</t>
  </si>
  <si>
    <t>Persevera Asset Management</t>
  </si>
  <si>
    <t>Mercado</t>
  </si>
  <si>
    <t>BNP Paribas Rubi FIF RF CP RL</t>
  </si>
  <si>
    <t>BNP Paribas Asset Management</t>
  </si>
  <si>
    <t>Daycoval Classic 30 FIRF CP</t>
  </si>
  <si>
    <t>Daycoval Asset Management</t>
  </si>
  <si>
    <t>SulAmérica Crédito Ativo FIRF CP LP</t>
  </si>
  <si>
    <t>SulAmérica Investimentos</t>
  </si>
  <si>
    <t>BNP Paribas Match Plus 30 Advisory FIF RF CP LP RL</t>
  </si>
  <si>
    <t>Tivio Institucional 15</t>
  </si>
  <si>
    <t>Tivio Capital</t>
  </si>
  <si>
    <t>Bradesco Ultra II FIF - CIC RF CP LP - RL</t>
  </si>
  <si>
    <t>Bradesco S.A.</t>
  </si>
  <si>
    <t>Mag High Grade Plus 30 FIF RF CP LP RL</t>
  </si>
  <si>
    <t>Mongeral Aegon Investimentos</t>
  </si>
  <si>
    <t>Vinland Crédito 10 FIC FIRF</t>
  </si>
  <si>
    <t>Vinland Capital Management</t>
  </si>
  <si>
    <t>Atena Yield D30 FIC de FIF RF CP RL</t>
  </si>
  <si>
    <t>Atena Capital</t>
  </si>
  <si>
    <t>SulAmérica Crédito ESG FIRF CP LP IS</t>
  </si>
  <si>
    <t>Bocom BBM Corporate Credit II FIF RF CP RL</t>
  </si>
  <si>
    <t>BOCOM BBM Investimentos</t>
  </si>
  <si>
    <t>BOCOM BBM Corporate Credit Plus FIF CIC MULT CP RL</t>
  </si>
  <si>
    <t>Root Capital Crédito HG Plus FIC de FIF Multimercado CP RL</t>
  </si>
  <si>
    <t>Root Capital</t>
  </si>
  <si>
    <t>Novus Crédito FIM CP LP</t>
  </si>
  <si>
    <t>Novus Crédito Gestão de Recursos Ltda.</t>
  </si>
  <si>
    <t>Ranking Geral</t>
  </si>
  <si>
    <t>Risco XP</t>
  </si>
  <si>
    <t>Taxa Adm.</t>
  </si>
  <si>
    <t>Ano % CDI</t>
  </si>
  <si>
    <t>Max DD 12M</t>
  </si>
  <si>
    <t>Janelas &gt; CDI</t>
  </si>
  <si>
    <t>Score Retorno</t>
  </si>
  <si>
    <t>Score Risco</t>
  </si>
  <si>
    <t>Score Consistência</t>
  </si>
  <si>
    <t>Score Liquidez/Custo</t>
  </si>
  <si>
    <t>Score Final</t>
  </si>
  <si>
    <t>3/3</t>
  </si>
  <si>
    <t>4/4</t>
  </si>
  <si>
    <t>3/4</t>
  </si>
  <si>
    <t>2/3</t>
  </si>
  <si>
    <t>1/2</t>
  </si>
  <si>
    <t>1/3</t>
  </si>
  <si>
    <t>2/4</t>
  </si>
  <si>
    <t>Occam Crédito Corporativo 30 FIC FIF RF CP LP RL</t>
  </si>
  <si>
    <t>Occam Investimentos</t>
  </si>
  <si>
    <t>Safra Vitesse Classe de Investimento RF CP RL</t>
  </si>
  <si>
    <t>Safra Asset Management</t>
  </si>
  <si>
    <t>Principal Claritas FIF RF</t>
  </si>
  <si>
    <t>Principal Asset Management LTDA</t>
  </si>
  <si>
    <t>Safra Polaris Classe de Investimento RF CP RL</t>
  </si>
  <si>
    <t>Safra DTVM (*)</t>
  </si>
  <si>
    <t>Safra Grand Vitesse FIRF CP</t>
  </si>
  <si>
    <t>SAFRA ASSET CTVM S.A.</t>
  </si>
  <si>
    <t>Compass Yield 30 FIF RF CP LP RL</t>
  </si>
  <si>
    <t>Compass Group Investimentos</t>
  </si>
  <si>
    <t>BTG Pactual Crédito Corporativo I FIF em Cotas de FIRF</t>
  </si>
  <si>
    <t>BTG Pactual Asset Management</t>
  </si>
  <si>
    <t>Ibiuna Credit FIF CIC Multimercado CP RL</t>
  </si>
  <si>
    <t>Ibiuna Investimentos</t>
  </si>
  <si>
    <t>XP Corporate Light FIRF CP LP</t>
  </si>
  <si>
    <t>XP Asset Management</t>
  </si>
  <si>
    <t>Cliente</t>
  </si>
  <si>
    <t>JGP Crédito Advisory FIF Multimercado CP RL</t>
  </si>
  <si>
    <t>JGP GESTÃO DE CRÉDITO LTDA.</t>
  </si>
  <si>
    <t>Plural Crédito Corporativo II FIC de FIF RF CP LP RL</t>
  </si>
  <si>
    <t>Plural Investimentos</t>
  </si>
  <si>
    <t>Polo Crédito Corporativo Advisory FIC FIF RF CP LP RL</t>
  </si>
  <si>
    <t>Polo Capital</t>
  </si>
  <si>
    <t>Integral FIRF CP</t>
  </si>
  <si>
    <t>Integral Investimentos</t>
  </si>
  <si>
    <t>Porto Seguro Ipê RF FIC FI CP LP</t>
  </si>
  <si>
    <t>Porto Investimentos</t>
  </si>
  <si>
    <t>Augme 30 II CIC de CIRF CP LP RL</t>
  </si>
  <si>
    <t>Augme Capital</t>
  </si>
  <si>
    <t>Sparta Top FIC FIF RF CP LP - Resp Limitada</t>
  </si>
  <si>
    <t>Sparta Investimentos</t>
  </si>
  <si>
    <t>Sparta Max Advisory FIC de FIF RF CP LP RL</t>
  </si>
  <si>
    <t>Western Asset Total Credit Plus FIF</t>
  </si>
  <si>
    <t>FRANKLIN TEMPLETON BRASIL LTDA.</t>
  </si>
  <si>
    <t>AF Invest Geraes 30 FIRF CP</t>
  </si>
  <si>
    <t>AF Invest Investimentos</t>
  </si>
  <si>
    <t>Tríade CIC CLasses FIM CP Resp Limitada</t>
  </si>
  <si>
    <t>Paramis Investimentos</t>
  </si>
  <si>
    <t>0/2</t>
  </si>
  <si>
    <t>Inter Premium FIF RF CP LP RL</t>
  </si>
  <si>
    <t>Inter Asset Management</t>
  </si>
  <si>
    <t>Riza Lotus Plus Advisory FIF RF</t>
  </si>
  <si>
    <t>Riza Líquidos Gestora de Recursos</t>
  </si>
  <si>
    <t>Iridium Titan Advisory FIC em FIF RF CP RL</t>
  </si>
  <si>
    <t>Iridium Investimentos</t>
  </si>
  <si>
    <t>Arx Vinson Advisory FIC de FIF RF CP RL</t>
  </si>
  <si>
    <t>ARX Investimentos</t>
  </si>
  <si>
    <t>Augme 30 Advisory CIC RF CP LP RL</t>
  </si>
  <si>
    <t>XP Corporate Top CP FIF FIRF LP RL</t>
  </si>
  <si>
    <t>Absolute Creta Advisory FIF FIRF</t>
  </si>
  <si>
    <t>Absolute Investimentos</t>
  </si>
  <si>
    <t>Selection RF Light FIC FIRF CP LP</t>
  </si>
  <si>
    <t>XP Advisory</t>
  </si>
  <si>
    <t>Vinland Crédito Multimercado FIC FI CP</t>
  </si>
  <si>
    <t>JGP Corporate FIC de FIF RF CP LP FEEDER II RL</t>
  </si>
  <si>
    <t>Valora Absolute FIF RF CP LP RL</t>
  </si>
  <si>
    <t>Valora Renda Fixa</t>
  </si>
  <si>
    <t>ARX Everest Advisory FIC de FIF RF CP RL</t>
  </si>
  <si>
    <t>AZ Quest Altro Advisory FIC de FIF Multimercado CP</t>
  </si>
  <si>
    <t>AZ Quest MZK Investimentos</t>
  </si>
  <si>
    <t>BB Asset RF CP LP FIC FIF RL</t>
  </si>
  <si>
    <t>BB Asset Management</t>
  </si>
  <si>
    <t>0/4</t>
  </si>
  <si>
    <t>SPX Seahawk Advisory FIC FIRF CP LP</t>
  </si>
  <si>
    <t>SPX Capital</t>
  </si>
  <si>
    <t>1/4</t>
  </si>
  <si>
    <t>Legacy Capital Credit D15 FIF MM CP RL</t>
  </si>
  <si>
    <t>Legacy Capital</t>
  </si>
  <si>
    <t>XP Corporate Plus FIC FIF Multi CP RL</t>
  </si>
  <si>
    <t>Capitânia Premium 45 FIC de FIF RF CP LP RL</t>
  </si>
  <si>
    <t>Capitânia Capital</t>
  </si>
  <si>
    <t>Ranking Cliente</t>
  </si>
  <si>
    <t>Recomendação Quantitativa</t>
  </si>
  <si>
    <t>Manter como melhor fundo do cliente na análise quantitativa; sem aumento relevante até Sharpe melhorar.</t>
  </si>
  <si>
    <t>Manter sob observação/sem novos aportes; 24–36M ainda ajudam, mas 12M ficou abaixo do CDI.</t>
  </si>
  <si>
    <t>Reavaliar manutenção; desempenho ajustado a risco inferior ao universo comparável.</t>
  </si>
  <si>
    <t>Congelar novos aportes e reduzir gradualmente; tese depende de recuperação dos eventos de crédito.</t>
  </si>
  <si>
    <t>Reduzir/zerar de forma escalonada; pior combinação de 12M CDI, Sharpe e ranking.</t>
  </si>
  <si>
    <t>Administrador</t>
  </si>
  <si>
    <t>Classificação XP</t>
  </si>
  <si>
    <t>Aplicação Inicial</t>
  </si>
  <si>
    <t>Cotização</t>
  </si>
  <si>
    <t>Liquidação</t>
  </si>
  <si>
    <t>Liquidez total (Cotização + Liquidação) em número (aproximação para filtros)</t>
  </si>
  <si>
    <t>Taxa de Administração</t>
  </si>
  <si>
    <t>Benchmark</t>
  </si>
  <si>
    <t>Data de Início</t>
  </si>
  <si>
    <t>Mês</t>
  </si>
  <si>
    <t>Ano</t>
  </si>
  <si>
    <t>12 Meses</t>
  </si>
  <si>
    <t>24 Meses (Anualizado)</t>
  </si>
  <si>
    <t>36 Meses (Anualizado)</t>
  </si>
  <si>
    <t>Ano (CDI)</t>
  </si>
  <si>
    <t>12 Meses (CDI)</t>
  </si>
  <si>
    <t>24 Meses (CDI)</t>
  </si>
  <si>
    <t>36 Meses (CDI)</t>
  </si>
  <si>
    <t>Volatilidade 12 meses</t>
  </si>
  <si>
    <t>Sharpe 12 meses</t>
  </si>
  <si>
    <t>Máx Drawdown 12 meses</t>
  </si>
  <si>
    <t>Score Retorno Relativo</t>
  </si>
  <si>
    <t>Janelas avaliadas</t>
  </si>
  <si>
    <t>BTG Pactual Serviços Financeiros</t>
  </si>
  <si>
    <t>Crédito High Grade</t>
  </si>
  <si>
    <t>D+14 (corridos)</t>
  </si>
  <si>
    <t>D+1 (útil)</t>
  </si>
  <si>
    <t>CDI</t>
  </si>
  <si>
    <t>-</t>
  </si>
  <si>
    <t>BEM DTVM</t>
  </si>
  <si>
    <t>D+120 (corridos)</t>
  </si>
  <si>
    <t>D+29 (corridos)</t>
  </si>
  <si>
    <t>BNP Paribas</t>
  </si>
  <si>
    <t>D+9 (corridos)</t>
  </si>
  <si>
    <t>BNY Mellon Serviços Financeiros</t>
  </si>
  <si>
    <t>D+30 (corridos)</t>
  </si>
  <si>
    <t>Banco Daycoval</t>
  </si>
  <si>
    <t>Banco Bradesco</t>
  </si>
  <si>
    <t>D+15 (corridos)</t>
  </si>
  <si>
    <t>D+59 (corridos)</t>
  </si>
  <si>
    <t>D+45 (corridos)</t>
  </si>
  <si>
    <t>Intrag DTVM</t>
  </si>
  <si>
    <t>D+6 (corridos)</t>
  </si>
  <si>
    <t>Banco Inter DTVM</t>
  </si>
  <si>
    <t>D+10 (corridos)</t>
  </si>
  <si>
    <t>XP Investimentos</t>
  </si>
  <si>
    <t>D+2 (útil)</t>
  </si>
  <si>
    <t>D+60 (corridos)</t>
  </si>
  <si>
    <t>D+44 (corridos)</t>
  </si>
  <si>
    <t>Santander Caceis</t>
  </si>
  <si>
    <t>Crédito Híbrido</t>
  </si>
  <si>
    <t>Item</t>
  </si>
  <si>
    <t>Descrição</t>
  </si>
  <si>
    <t>Universo</t>
  </si>
  <si>
    <t>Planilha CNC_v1.xlsx enviada pelo usuário, com 53 fundos high grade acessíveis. Linhas amarelas = mercado; linhas verdes = fundos investidos pelo cliente.</t>
  </si>
  <si>
    <t>45% do score final. Percentil composto das janelas Ano % CDI, 12M % CDI, 24M % CDI e 36M % CDI, com maior peso para 12M e 24M.</t>
  </si>
  <si>
    <t>25% do score final. Percentil inverso de volatilidade 12M, drawdown máximo 12M e Risco XP. Menor volatilidade, menor drawdown e menor risco XP recebem maior pontuação.</t>
  </si>
  <si>
    <t>20% do score final. Percentil do Sharpe 12M.</t>
  </si>
  <si>
    <t>10% do score final. Percentil inverso de liquidez total e taxa de administração.</t>
  </si>
  <si>
    <t>Tratamento de dados</t>
  </si>
  <si>
    <t>Campos em branco ou “-” foram tratados como indisponíveis e reponderados dentro do bloco de score. A análise não substitui due diligence qualitativa de carteira, passivo, concentração por emissor e eventos de crédito.</t>
  </si>
  <si>
    <t>CNPJ</t>
  </si>
  <si>
    <t>51693641000100</t>
  </si>
  <si>
    <t>21185984000100</t>
  </si>
  <si>
    <t>29250121000173</t>
  </si>
  <si>
    <t>13823084000105</t>
  </si>
  <si>
    <t>50098505000109</t>
  </si>
  <si>
    <t>55315627000123</t>
  </si>
  <si>
    <t>50697486000137</t>
  </si>
  <si>
    <t>53678015000170</t>
  </si>
  <si>
    <t>31340838000158</t>
  </si>
  <si>
    <t>33701828000126</t>
  </si>
  <si>
    <t>49996302000150</t>
  </si>
  <si>
    <t>34799129000123</t>
  </si>
  <si>
    <t>42405028000159</t>
  </si>
  <si>
    <t>45443993000104</t>
  </si>
  <si>
    <t>47586648000155</t>
  </si>
  <si>
    <t>11447124000136</t>
  </si>
  <si>
    <t>11447136000160</t>
  </si>
  <si>
    <t>30056825000199</t>
  </si>
  <si>
    <t>23714047000112</t>
  </si>
  <si>
    <t>36318479000156</t>
  </si>
  <si>
    <t>14171644000157</t>
  </si>
  <si>
    <t>37310657000165</t>
  </si>
  <si>
    <t>11046179000134</t>
  </si>
  <si>
    <t>28767162000179</t>
  </si>
  <si>
    <t>18316558000146</t>
  </si>
  <si>
    <t>31455879000190</t>
  </si>
  <si>
    <t>15174629000125</t>
  </si>
  <si>
    <t>35378376000119</t>
  </si>
  <si>
    <t>52285852000176</t>
  </si>
  <si>
    <t>14188162000100</t>
  </si>
  <si>
    <t>32757330000112</t>
  </si>
  <si>
    <t>49984055000172</t>
  </si>
  <si>
    <t>29044189000104</t>
  </si>
  <si>
    <t>54026669000181</t>
  </si>
  <si>
    <t>27826059000190</t>
  </si>
  <si>
    <t>43917493000131</t>
  </si>
  <si>
    <t>32756812000158</t>
  </si>
  <si>
    <t>41888492000180</t>
  </si>
  <si>
    <t>30568495000110</t>
  </si>
  <si>
    <t>48122126000165</t>
  </si>
  <si>
    <t>24572219000123</t>
  </si>
  <si>
    <t>47684408000193</t>
  </si>
  <si>
    <t>23956069000199</t>
  </si>
  <si>
    <t>10326625000100</t>
  </si>
  <si>
    <t>35789436000196</t>
  </si>
  <si>
    <t>34370777000160</t>
  </si>
  <si>
    <t>45081757000195</t>
  </si>
  <si>
    <t>35648999000164</t>
  </si>
  <si>
    <t>59063042000114</t>
  </si>
  <si>
    <t>23999611000190</t>
  </si>
  <si>
    <t>20146294000171</t>
  </si>
  <si>
    <t>04240128000183</t>
  </si>
  <si>
    <t>04621721000170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</si>
</sst>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404040"/>
      <name val="Carlito"/>
    </font>
    <font>
      <sz val="11"/>
      <color rgb="FFFF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0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/>
      <right/>
      <top style="thin">
        <color rgb="FFFFC000"/>
      </top>
      <bottom style="thin">
        <color rgb="FFFFC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164" fontId="0" fillId="0" borderId="5" xfId="0" applyNumberFormat="1" applyBorder="1"/>
    <xf numFmtId="164" fontId="0" fillId="0" borderId="6" xfId="0" applyNumberFormat="1" applyBorder="1"/>
    <xf numFmtId="2" fontId="0" fillId="0" borderId="5" xfId="0" applyNumberFormat="1" applyBorder="1"/>
    <xf numFmtId="2" fontId="0" fillId="0" borderId="6" xfId="0" applyNumberFormat="1" applyBorder="1"/>
    <xf numFmtId="0" fontId="0" fillId="0" borderId="7" xfId="0" applyBorder="1"/>
    <xf numFmtId="165" fontId="0" fillId="0" borderId="8" xfId="0" applyNumberFormat="1" applyBorder="1"/>
    <xf numFmtId="165" fontId="0" fillId="0" borderId="9" xfId="0" applyNumberFormat="1" applyBorder="1"/>
    <xf numFmtId="0" fontId="0" fillId="0" borderId="5" xfId="0" applyBorder="1"/>
    <xf numFmtId="10" fontId="0" fillId="0" borderId="5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0" fontId="0" fillId="0" borderId="8" xfId="0" applyBorder="1"/>
    <xf numFmtId="164" fontId="0" fillId="0" borderId="8" xfId="0" applyNumberFormat="1" applyBorder="1"/>
    <xf numFmtId="10" fontId="0" fillId="0" borderId="8" xfId="0" applyNumberFormat="1" applyBorder="1"/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0" fillId="0" borderId="13" xfId="0" applyBorder="1"/>
    <xf numFmtId="0" fontId="0" fillId="0" borderId="14" xfId="0" applyBorder="1"/>
    <xf numFmtId="164" fontId="0" fillId="0" borderId="14" xfId="0" applyNumberFormat="1" applyBorder="1"/>
    <xf numFmtId="10" fontId="0" fillId="0" borderId="14" xfId="0" applyNumberFormat="1" applyBorder="1"/>
    <xf numFmtId="165" fontId="0" fillId="0" borderId="14" xfId="0" applyNumberFormat="1" applyBorder="1"/>
    <xf numFmtId="165" fontId="0" fillId="0" borderId="15" xfId="0" applyNumberFormat="1" applyBorder="1"/>
    <xf numFmtId="0" fontId="0" fillId="0" borderId="16" xfId="0" applyBorder="1"/>
    <xf numFmtId="0" fontId="0" fillId="0" borderId="17" xfId="0" applyBorder="1"/>
    <xf numFmtId="164" fontId="0" fillId="0" borderId="17" xfId="0" applyNumberFormat="1" applyBorder="1"/>
    <xf numFmtId="10" fontId="0" fillId="0" borderId="17" xfId="0" applyNumberFormat="1" applyBorder="1"/>
    <xf numFmtId="165" fontId="0" fillId="0" borderId="17" xfId="0" applyNumberFormat="1" applyBorder="1"/>
    <xf numFmtId="165" fontId="0" fillId="0" borderId="18" xfId="0" applyNumberFormat="1" applyBorder="1"/>
    <xf numFmtId="0" fontId="0" fillId="0" borderId="15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5" xfId="0" applyBorder="1"/>
    <xf numFmtId="0" fontId="0" fillId="0" borderId="18" xfId="0" applyBorder="1"/>
    <xf numFmtId="0" fontId="1" fillId="2" borderId="10" xfId="0" applyFont="1" applyFill="1" applyBorder="1"/>
    <xf numFmtId="0" fontId="1" fillId="2" borderId="12" xfId="0" applyFont="1" applyFill="1" applyBorder="1"/>
    <xf numFmtId="0" fontId="3" fillId="0" borderId="14" xfId="0" applyFont="1" applyBorder="1"/>
    <xf numFmtId="0" fontId="0" fillId="0" borderId="19" xfId="0" applyBorder="1" applyAlignment="1">
      <alignment horizontal="left"/>
    </xf>
    <xf numFmtId="49" fontId="0" fillId="0" borderId="0" xfId="0" applyNumberFormat="1"/>
    <xf numFmtId="49" fontId="0" fillId="0" borderId="0" xfId="0" quotePrefix="1" applyNumberFormat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workbookViewId="0">
      <selection activeCell="D22" sqref="D22"/>
    </sheetView>
  </sheetViews>
  <sheetFormatPr defaultRowHeight="14.25"/>
  <cols>
    <col min="1" max="1" width="26" customWidth="1"/>
    <col min="2" max="2" width="52.125" bestFit="1" customWidth="1"/>
    <col min="3" max="3" width="22.25" customWidth="1"/>
    <col min="4" max="5" width="18" customWidth="1"/>
    <col min="6" max="8" width="28" customWidth="1"/>
    <col min="9" max="11" width="18" customWidth="1"/>
  </cols>
  <sheetData>
    <row r="1" spans="1:8" ht="15">
      <c r="A1" s="44" t="s">
        <v>0</v>
      </c>
      <c r="B1" s="45" t="s">
        <v>0</v>
      </c>
      <c r="C1" s="45" t="s">
        <v>0</v>
      </c>
      <c r="D1" s="45" t="s">
        <v>0</v>
      </c>
      <c r="E1" s="45" t="s">
        <v>0</v>
      </c>
      <c r="F1" s="45" t="s">
        <v>0</v>
      </c>
      <c r="G1" s="45" t="s">
        <v>0</v>
      </c>
      <c r="H1" s="45" t="s">
        <v>0</v>
      </c>
    </row>
    <row r="3" spans="1:8" ht="15">
      <c r="A3" s="46" t="s">
        <v>1</v>
      </c>
      <c r="B3" s="45" t="s">
        <v>1</v>
      </c>
      <c r="C3" s="45" t="s">
        <v>1</v>
      </c>
      <c r="D3" s="45" t="s">
        <v>1</v>
      </c>
      <c r="E3" s="45" t="s">
        <v>1</v>
      </c>
      <c r="F3" s="45" t="s">
        <v>1</v>
      </c>
      <c r="G3" s="45" t="s">
        <v>1</v>
      </c>
      <c r="H3" s="45" t="s">
        <v>1</v>
      </c>
    </row>
    <row r="4" spans="1:8">
      <c r="A4" s="47" t="s">
        <v>2</v>
      </c>
      <c r="B4" s="45"/>
      <c r="C4" s="45"/>
      <c r="D4" s="45"/>
      <c r="E4" s="45"/>
      <c r="F4" s="45"/>
      <c r="G4" s="45"/>
      <c r="H4" s="45"/>
    </row>
    <row r="5" spans="1:8">
      <c r="A5" s="45"/>
      <c r="B5" s="45"/>
      <c r="C5" s="45"/>
      <c r="D5" s="45"/>
      <c r="E5" s="45"/>
      <c r="F5" s="45"/>
      <c r="G5" s="45"/>
      <c r="H5" s="45"/>
    </row>
    <row r="7" spans="1:8" ht="15">
      <c r="A7" s="1" t="s">
        <v>3</v>
      </c>
      <c r="B7" s="2" t="s">
        <v>4</v>
      </c>
      <c r="C7" s="2" t="s">
        <v>5</v>
      </c>
      <c r="D7" s="3" t="s">
        <v>6</v>
      </c>
      <c r="F7" s="44" t="s">
        <v>7</v>
      </c>
      <c r="G7" s="45"/>
      <c r="H7" s="45"/>
    </row>
    <row r="8" spans="1:8">
      <c r="A8" s="4" t="s">
        <v>8</v>
      </c>
      <c r="B8" s="5">
        <v>0.93607216255654224</v>
      </c>
      <c r="C8" s="5">
        <v>0.79245189074427591</v>
      </c>
      <c r="D8" s="6">
        <v>-0.14362027181226633</v>
      </c>
      <c r="F8" s="47" t="s">
        <v>9</v>
      </c>
      <c r="G8" s="47"/>
      <c r="H8" s="47"/>
    </row>
    <row r="9" spans="1:8">
      <c r="A9" s="4" t="s">
        <v>10</v>
      </c>
      <c r="B9" s="5">
        <v>0.98664852269509851</v>
      </c>
      <c r="C9" s="5">
        <v>0.95084131465044397</v>
      </c>
      <c r="D9" s="6">
        <v>-3.5807208044654537E-2</v>
      </c>
      <c r="F9" s="47" t="s">
        <v>11</v>
      </c>
      <c r="G9" s="47"/>
      <c r="H9" s="47"/>
    </row>
    <row r="10" spans="1:8">
      <c r="A10" s="4" t="s">
        <v>12</v>
      </c>
      <c r="B10" s="5">
        <v>1.0358202799491372</v>
      </c>
      <c r="C10" s="5">
        <v>1.0371471769723983</v>
      </c>
      <c r="D10" s="6">
        <v>1.3268970232611643E-3</v>
      </c>
      <c r="F10" s="47" t="s">
        <v>13</v>
      </c>
      <c r="G10" s="47"/>
      <c r="H10" s="47"/>
    </row>
    <row r="11" spans="1:8">
      <c r="A11" s="4" t="s">
        <v>14</v>
      </c>
      <c r="B11" s="5">
        <v>1.0852305398681232</v>
      </c>
      <c r="C11" s="5">
        <v>1.1156469876161463</v>
      </c>
      <c r="D11" s="6">
        <v>3.0416447748023101E-2</v>
      </c>
      <c r="F11" s="47" t="s">
        <v>15</v>
      </c>
      <c r="G11" s="47"/>
      <c r="H11" s="47"/>
    </row>
    <row r="12" spans="1:8">
      <c r="A12" s="4" t="s">
        <v>16</v>
      </c>
      <c r="B12" s="5">
        <v>2.8089457399769501E-3</v>
      </c>
      <c r="C12" s="5">
        <v>5.2645791380443001E-3</v>
      </c>
      <c r="D12" s="6">
        <v>2.45563339806735E-3</v>
      </c>
      <c r="F12" s="47" t="s">
        <v>17</v>
      </c>
      <c r="G12" s="47"/>
      <c r="H12" s="47"/>
    </row>
    <row r="13" spans="1:8">
      <c r="A13" s="4" t="s">
        <v>18</v>
      </c>
      <c r="B13" s="7">
        <v>-0.50149342404162789</v>
      </c>
      <c r="C13" s="7">
        <v>-1.3884551952841799</v>
      </c>
      <c r="D13" s="8">
        <v>-0.88696177124255204</v>
      </c>
      <c r="F13" s="47"/>
      <c r="G13" s="47"/>
      <c r="H13" s="47"/>
    </row>
    <row r="14" spans="1:8">
      <c r="A14" s="4" t="s">
        <v>19</v>
      </c>
      <c r="B14" s="7">
        <v>-1.2803218249337498E-3</v>
      </c>
      <c r="C14" s="7">
        <v>-2.4009558406706002E-3</v>
      </c>
      <c r="D14" s="8">
        <v>-1.1206340157368503E-3</v>
      </c>
    </row>
    <row r="15" spans="1:8">
      <c r="A15" s="9" t="s">
        <v>20</v>
      </c>
      <c r="B15" s="10">
        <v>53.533434971621787</v>
      </c>
      <c r="C15" s="10">
        <v>45.849677108605682</v>
      </c>
      <c r="D15" s="11">
        <v>-7.6837578630161047</v>
      </c>
    </row>
    <row r="18" spans="1:11" ht="15">
      <c r="A18" s="1" t="s">
        <v>21</v>
      </c>
      <c r="B18" s="2" t="s">
        <v>22</v>
      </c>
      <c r="C18" s="2" t="s">
        <v>23</v>
      </c>
      <c r="D18" s="2" t="s">
        <v>24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18</v>
      </c>
      <c r="K18" s="3" t="s">
        <v>30</v>
      </c>
    </row>
    <row r="19" spans="1:11">
      <c r="A19" s="4">
        <v>1</v>
      </c>
      <c r="B19" s="12" t="s">
        <v>31</v>
      </c>
      <c r="C19" s="12" t="s">
        <v>32</v>
      </c>
      <c r="D19" s="12" t="s">
        <v>33</v>
      </c>
      <c r="E19" s="12">
        <v>15</v>
      </c>
      <c r="F19" s="5">
        <v>1.0589277628082021</v>
      </c>
      <c r="G19" s="5">
        <v>1.0579844316781313</v>
      </c>
      <c r="H19" s="5"/>
      <c r="I19" s="13">
        <v>1.3838477849082E-3</v>
      </c>
      <c r="J19" s="14">
        <v>5.4687896948055386</v>
      </c>
      <c r="K19" s="15">
        <v>89.579217485810887</v>
      </c>
    </row>
    <row r="20" spans="1:11">
      <c r="A20" s="4">
        <v>2</v>
      </c>
      <c r="B20" s="12" t="s">
        <v>34</v>
      </c>
      <c r="C20" s="12" t="s">
        <v>35</v>
      </c>
      <c r="D20" s="12" t="s">
        <v>33</v>
      </c>
      <c r="E20" s="12">
        <v>10</v>
      </c>
      <c r="F20" s="5">
        <v>1.0340920030351035</v>
      </c>
      <c r="G20" s="5">
        <v>1.0543422553212378</v>
      </c>
      <c r="H20" s="5">
        <v>1.0861844752561356</v>
      </c>
      <c r="I20" s="13">
        <v>8.0229319216119997E-4</v>
      </c>
      <c r="J20" s="14">
        <v>5.4656809814231924</v>
      </c>
      <c r="K20" s="15">
        <v>88.648057299843003</v>
      </c>
    </row>
    <row r="21" spans="1:11">
      <c r="A21" s="4">
        <v>3</v>
      </c>
      <c r="B21" s="12" t="s">
        <v>36</v>
      </c>
      <c r="C21" s="12" t="s">
        <v>37</v>
      </c>
      <c r="D21" s="12" t="s">
        <v>33</v>
      </c>
      <c r="E21" s="12">
        <v>30</v>
      </c>
      <c r="F21" s="5">
        <v>1.0237355010908356</v>
      </c>
      <c r="G21" s="5">
        <v>1.0522985031983334</v>
      </c>
      <c r="H21" s="5">
        <v>1.1009500431873791</v>
      </c>
      <c r="I21" s="13">
        <v>1.8143026434279E-3</v>
      </c>
      <c r="J21" s="14">
        <v>1.6846202863110895</v>
      </c>
      <c r="K21" s="15">
        <v>82.10146995861281</v>
      </c>
    </row>
    <row r="22" spans="1:11">
      <c r="A22" s="4">
        <v>4</v>
      </c>
      <c r="B22" s="12" t="s">
        <v>38</v>
      </c>
      <c r="C22" s="12" t="s">
        <v>39</v>
      </c>
      <c r="D22" s="12" t="s">
        <v>33</v>
      </c>
      <c r="E22" s="12">
        <v>30</v>
      </c>
      <c r="F22" s="5">
        <v>1.0338814166406951</v>
      </c>
      <c r="G22" s="5">
        <v>1.0724460273019558</v>
      </c>
      <c r="H22" s="5">
        <v>1.140827364558384</v>
      </c>
      <c r="I22" s="13">
        <v>2.8243911594665002E-3</v>
      </c>
      <c r="J22" s="14">
        <v>1.5442973979649419</v>
      </c>
      <c r="K22" s="15">
        <v>80.135355715712848</v>
      </c>
    </row>
    <row r="23" spans="1:11">
      <c r="A23" s="4">
        <v>5</v>
      </c>
      <c r="B23" s="12" t="s">
        <v>40</v>
      </c>
      <c r="C23" s="12" t="s">
        <v>35</v>
      </c>
      <c r="D23" s="12" t="s">
        <v>33</v>
      </c>
      <c r="E23" s="12">
        <v>30</v>
      </c>
      <c r="F23" s="5">
        <v>1.0260059370273129</v>
      </c>
      <c r="G23" s="5">
        <v>1.04168886371488</v>
      </c>
      <c r="H23" s="5"/>
      <c r="I23" s="13">
        <v>9.0431071454879998E-4</v>
      </c>
      <c r="J23" s="14">
        <v>3.7010514699302086</v>
      </c>
      <c r="K23" s="15">
        <v>79.244252656683983</v>
      </c>
    </row>
    <row r="24" spans="1:11">
      <c r="A24" s="4">
        <v>6</v>
      </c>
      <c r="B24" s="12" t="s">
        <v>41</v>
      </c>
      <c r="C24" s="12" t="s">
        <v>42</v>
      </c>
      <c r="D24" s="12" t="s">
        <v>33</v>
      </c>
      <c r="E24" s="12">
        <v>16</v>
      </c>
      <c r="F24" s="5">
        <v>1.018540321350361</v>
      </c>
      <c r="G24" s="5">
        <v>1.0784636586828538</v>
      </c>
      <c r="H24" s="5">
        <v>1.149774932876992</v>
      </c>
      <c r="I24" s="13">
        <v>2.8298312637800999E-3</v>
      </c>
      <c r="J24" s="14">
        <v>0.84490065007096526</v>
      </c>
      <c r="K24" s="15">
        <v>76.411490295418872</v>
      </c>
    </row>
    <row r="25" spans="1:11">
      <c r="A25" s="4">
        <v>7</v>
      </c>
      <c r="B25" s="12" t="s">
        <v>43</v>
      </c>
      <c r="C25" s="12" t="s">
        <v>44</v>
      </c>
      <c r="D25" s="12" t="s">
        <v>33</v>
      </c>
      <c r="E25" s="12">
        <v>31</v>
      </c>
      <c r="F25" s="5">
        <v>1.022530462273739</v>
      </c>
      <c r="G25" s="5"/>
      <c r="H25" s="5"/>
      <c r="I25" s="13">
        <v>1.9740414972315001E-3</v>
      </c>
      <c r="J25" s="14">
        <v>1.4700026879256951</v>
      </c>
      <c r="K25" s="15">
        <v>75.197115384615387</v>
      </c>
    </row>
    <row r="26" spans="1:11">
      <c r="A26" s="4">
        <v>8</v>
      </c>
      <c r="B26" s="12" t="s">
        <v>45</v>
      </c>
      <c r="C26" s="12" t="s">
        <v>46</v>
      </c>
      <c r="D26" s="12" t="s">
        <v>33</v>
      </c>
      <c r="E26" s="12">
        <v>31</v>
      </c>
      <c r="F26" s="5">
        <v>1.0311738370129051</v>
      </c>
      <c r="G26" s="5">
        <v>1.036443201986436</v>
      </c>
      <c r="H26" s="5"/>
      <c r="I26" s="13">
        <v>1.7909506245896E-3</v>
      </c>
      <c r="J26" s="14">
        <v>2.2400288043511205</v>
      </c>
      <c r="K26" s="15">
        <v>74.034342546190075</v>
      </c>
    </row>
    <row r="27" spans="1:11">
      <c r="A27" s="4">
        <v>9</v>
      </c>
      <c r="B27" s="12" t="s">
        <v>47</v>
      </c>
      <c r="C27" s="12" t="s">
        <v>48</v>
      </c>
      <c r="D27" s="12" t="s">
        <v>33</v>
      </c>
      <c r="E27" s="12">
        <v>10</v>
      </c>
      <c r="F27" s="5">
        <v>0.99402447760225576</v>
      </c>
      <c r="G27" s="5">
        <v>1.0676059740667374</v>
      </c>
      <c r="H27" s="5"/>
      <c r="I27" s="13">
        <v>1.6284688794644001E-3</v>
      </c>
      <c r="J27" s="14">
        <v>-0.47235098256627678</v>
      </c>
      <c r="K27" s="15">
        <v>73.971898637077217</v>
      </c>
    </row>
    <row r="28" spans="1:11">
      <c r="A28" s="4">
        <v>10</v>
      </c>
      <c r="B28" s="12" t="s">
        <v>49</v>
      </c>
      <c r="C28" s="12" t="s">
        <v>50</v>
      </c>
      <c r="D28" s="12" t="s">
        <v>33</v>
      </c>
      <c r="E28" s="12">
        <v>30</v>
      </c>
      <c r="F28" s="5">
        <v>1.0393716253584786</v>
      </c>
      <c r="G28" s="5">
        <v>1.0358202799491372</v>
      </c>
      <c r="H28" s="5">
        <v>1.0672420814625192</v>
      </c>
      <c r="I28" s="13">
        <v>1.2778346882072E-3</v>
      </c>
      <c r="J28" s="14">
        <v>3.962096924683991</v>
      </c>
      <c r="K28" s="15">
        <v>73.797420299480734</v>
      </c>
    </row>
    <row r="29" spans="1:11">
      <c r="A29" s="4">
        <v>11</v>
      </c>
      <c r="B29" s="12" t="s">
        <v>51</v>
      </c>
      <c r="C29" s="12" t="s">
        <v>39</v>
      </c>
      <c r="D29" s="12" t="s">
        <v>33</v>
      </c>
      <c r="E29" s="12">
        <v>46</v>
      </c>
      <c r="F29" s="5">
        <v>1.003395721429035</v>
      </c>
      <c r="G29" s="5">
        <v>1.0651461893587979</v>
      </c>
      <c r="H29" s="5">
        <v>1.1452215470360594</v>
      </c>
      <c r="I29" s="13">
        <v>1.4793059512696E-3</v>
      </c>
      <c r="J29" s="14">
        <v>0.29654696783702911</v>
      </c>
      <c r="K29" s="15">
        <v>69.38523976023977</v>
      </c>
    </row>
    <row r="30" spans="1:11">
      <c r="A30" s="4">
        <v>12</v>
      </c>
      <c r="B30" s="12" t="s">
        <v>52</v>
      </c>
      <c r="C30" s="12" t="s">
        <v>53</v>
      </c>
      <c r="D30" s="12" t="s">
        <v>33</v>
      </c>
      <c r="E30" s="12">
        <v>31</v>
      </c>
      <c r="F30" s="5">
        <v>1.0135992219300489</v>
      </c>
      <c r="G30" s="5">
        <v>1.0535863716793856</v>
      </c>
      <c r="H30" s="5"/>
      <c r="I30" s="13">
        <v>2.5784676324383002E-3</v>
      </c>
      <c r="J30" s="14">
        <v>0.68050875787755394</v>
      </c>
      <c r="K30" s="15">
        <v>67.517569484087346</v>
      </c>
    </row>
    <row r="31" spans="1:11">
      <c r="A31" s="4">
        <v>13</v>
      </c>
      <c r="B31" s="12" t="s">
        <v>54</v>
      </c>
      <c r="C31" s="12" t="s">
        <v>53</v>
      </c>
      <c r="D31" s="12" t="s">
        <v>33</v>
      </c>
      <c r="E31" s="12">
        <v>121</v>
      </c>
      <c r="F31" s="5">
        <v>1.0440932810302754</v>
      </c>
      <c r="G31" s="5">
        <v>1.081469855235683</v>
      </c>
      <c r="H31" s="5">
        <v>1.12127723364678</v>
      </c>
      <c r="I31" s="13">
        <v>4.4325919415451002E-3</v>
      </c>
      <c r="J31" s="14">
        <v>1.2807941121882651</v>
      </c>
      <c r="K31" s="15">
        <v>67.504745254745259</v>
      </c>
    </row>
    <row r="32" spans="1:11">
      <c r="A32" s="4">
        <v>14</v>
      </c>
      <c r="B32" s="12" t="s">
        <v>55</v>
      </c>
      <c r="C32" s="12" t="s">
        <v>56</v>
      </c>
      <c r="D32" s="12" t="s">
        <v>33</v>
      </c>
      <c r="E32" s="12">
        <v>60</v>
      </c>
      <c r="F32" s="5">
        <v>1.0159979193193185</v>
      </c>
      <c r="G32" s="5">
        <v>1.0706601200959234</v>
      </c>
      <c r="H32" s="5">
        <v>1.1167845655287101</v>
      </c>
      <c r="I32" s="13">
        <v>1.9103322200379001E-3</v>
      </c>
      <c r="J32" s="14">
        <v>1.0792760623905302</v>
      </c>
      <c r="K32" s="15">
        <v>65.367614528328815</v>
      </c>
    </row>
    <row r="33" spans="1:11">
      <c r="A33" s="9">
        <v>15</v>
      </c>
      <c r="B33" s="16" t="s">
        <v>57</v>
      </c>
      <c r="C33" s="16" t="s">
        <v>58</v>
      </c>
      <c r="D33" s="16" t="s">
        <v>33</v>
      </c>
      <c r="E33" s="16">
        <v>31</v>
      </c>
      <c r="F33" s="17">
        <v>0.99977506770625624</v>
      </c>
      <c r="G33" s="17">
        <v>1.0552486917529669</v>
      </c>
      <c r="H33" s="17">
        <v>1.1627683450418509</v>
      </c>
      <c r="I33" s="18">
        <v>2.4863876942886999E-3</v>
      </c>
      <c r="J33" s="10">
        <v>-1.04264203830095E-2</v>
      </c>
      <c r="K33" s="11">
        <v>64.176751819608953</v>
      </c>
    </row>
  </sheetData>
  <mergeCells count="10">
    <mergeCell ref="F9:H9"/>
    <mergeCell ref="F10:H10"/>
    <mergeCell ref="F11:H11"/>
    <mergeCell ref="F12:H12"/>
    <mergeCell ref="F13:H13"/>
    <mergeCell ref="A1:H1"/>
    <mergeCell ref="A3:H3"/>
    <mergeCell ref="A4:H5"/>
    <mergeCell ref="F7:H7"/>
    <mergeCell ref="F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4"/>
  <sheetViews>
    <sheetView tabSelected="1" workbookViewId="0">
      <selection activeCell="C12" sqref="C12"/>
    </sheetView>
  </sheetViews>
  <sheetFormatPr defaultRowHeight="14.25"/>
  <cols>
    <col min="1" max="1" width="11.25" customWidth="1"/>
    <col min="2" max="2" width="7.125" customWidth="1"/>
    <col min="3" max="3" width="47.375" customWidth="1"/>
    <col min="4" max="5" width="31.625" customWidth="1"/>
    <col min="6" max="7" width="6.75" customWidth="1"/>
    <col min="8" max="9" width="8.375" customWidth="1"/>
    <col min="10" max="12" width="8.75" customWidth="1"/>
    <col min="13" max="13" width="6.75" customWidth="1"/>
    <col min="14" max="14" width="9.875" customWidth="1"/>
    <col min="15" max="15" width="10.625" customWidth="1"/>
    <col min="16" max="16" width="10.5" customWidth="1"/>
    <col min="17" max="17" width="11.5" customWidth="1"/>
    <col min="18" max="18" width="9.125" customWidth="1"/>
    <col min="19" max="19" width="15.125" customWidth="1"/>
    <col min="20" max="20" width="17.125" customWidth="1"/>
    <col min="21" max="21" width="8.75" customWidth="1"/>
  </cols>
  <sheetData>
    <row r="1" spans="1:21" ht="30">
      <c r="A1" s="19" t="s">
        <v>59</v>
      </c>
      <c r="B1" s="20" t="s">
        <v>24</v>
      </c>
      <c r="C1" s="20" t="s">
        <v>22</v>
      </c>
      <c r="D1" s="20" t="s">
        <v>23</v>
      </c>
      <c r="E1" s="20" t="s">
        <v>218</v>
      </c>
      <c r="F1" s="20" t="s">
        <v>60</v>
      </c>
      <c r="G1" s="20" t="s">
        <v>25</v>
      </c>
      <c r="H1" s="20" t="s">
        <v>61</v>
      </c>
      <c r="I1" s="20" t="s">
        <v>62</v>
      </c>
      <c r="J1" s="20" t="s">
        <v>26</v>
      </c>
      <c r="K1" s="20" t="s">
        <v>27</v>
      </c>
      <c r="L1" s="20" t="s">
        <v>28</v>
      </c>
      <c r="M1" s="20" t="s">
        <v>29</v>
      </c>
      <c r="N1" s="20" t="s">
        <v>18</v>
      </c>
      <c r="O1" s="20" t="s">
        <v>63</v>
      </c>
      <c r="P1" s="20" t="s">
        <v>64</v>
      </c>
      <c r="Q1" s="20" t="s">
        <v>65</v>
      </c>
      <c r="R1" s="20" t="s">
        <v>66</v>
      </c>
      <c r="S1" s="20" t="s">
        <v>67</v>
      </c>
      <c r="T1" s="20" t="s">
        <v>68</v>
      </c>
      <c r="U1" s="21" t="s">
        <v>69</v>
      </c>
    </row>
    <row r="2" spans="1:21">
      <c r="A2" s="22">
        <v>1</v>
      </c>
      <c r="B2" s="23" t="s">
        <v>33</v>
      </c>
      <c r="C2" s="23" t="s">
        <v>31</v>
      </c>
      <c r="D2" s="23" t="s">
        <v>32</v>
      </c>
      <c r="E2" s="23" t="str">
        <f>INDEX(Sheet1!C:C,MATCH('Ranking Quantitativo'!C2,Sheet1!B:B,0))</f>
        <v>51693641000100</v>
      </c>
      <c r="F2" s="23">
        <v>10</v>
      </c>
      <c r="G2" s="23">
        <v>15</v>
      </c>
      <c r="H2" s="24">
        <v>6.9999999999999993E-3</v>
      </c>
      <c r="I2" s="24">
        <v>1.0556067821964483</v>
      </c>
      <c r="J2" s="24">
        <v>1.0589277628082021</v>
      </c>
      <c r="K2" s="24">
        <v>1.0579844316781313</v>
      </c>
      <c r="L2" s="24"/>
      <c r="M2" s="25">
        <v>1.3838477849082E-3</v>
      </c>
      <c r="N2" s="26">
        <v>5.4687896948055386</v>
      </c>
      <c r="O2" s="26"/>
      <c r="P2" s="26" t="s">
        <v>70</v>
      </c>
      <c r="Q2" s="26">
        <v>93.877551020408163</v>
      </c>
      <c r="R2" s="26">
        <v>85.798816568047343</v>
      </c>
      <c r="S2" s="26">
        <v>100</v>
      </c>
      <c r="T2" s="26">
        <v>58.84615384615384</v>
      </c>
      <c r="U2" s="27">
        <v>89.579217485810887</v>
      </c>
    </row>
    <row r="3" spans="1:21">
      <c r="A3" s="22">
        <v>2</v>
      </c>
      <c r="B3" s="23" t="s">
        <v>33</v>
      </c>
      <c r="C3" s="23" t="s">
        <v>34</v>
      </c>
      <c r="D3" s="23" t="s">
        <v>35</v>
      </c>
      <c r="E3" s="23" t="str">
        <f>INDEX(Sheet1!C:C,MATCH('Ranking Quantitativo'!C3,Sheet1!B:B,0))</f>
        <v>21185984000100</v>
      </c>
      <c r="F3" s="23">
        <v>4</v>
      </c>
      <c r="G3" s="23">
        <v>10</v>
      </c>
      <c r="H3" s="24">
        <v>4.0000000000000001E-3</v>
      </c>
      <c r="I3" s="24">
        <v>1.001460421695576</v>
      </c>
      <c r="J3" s="24">
        <v>1.0340920030351035</v>
      </c>
      <c r="K3" s="24">
        <v>1.0543422553212378</v>
      </c>
      <c r="L3" s="24">
        <v>1.0861844752561356</v>
      </c>
      <c r="M3" s="25">
        <v>8.0229319216119997E-4</v>
      </c>
      <c r="N3" s="26">
        <v>5.4656809814231924</v>
      </c>
      <c r="O3" s="26"/>
      <c r="P3" s="26" t="s">
        <v>71</v>
      </c>
      <c r="Q3" s="26">
        <v>79.175170068027214</v>
      </c>
      <c r="R3" s="26">
        <v>96.153846153846146</v>
      </c>
      <c r="S3" s="26">
        <v>98.076923076923066</v>
      </c>
      <c r="T3" s="26">
        <v>93.65384615384616</v>
      </c>
      <c r="U3" s="27">
        <v>88.648057299843003</v>
      </c>
    </row>
    <row r="4" spans="1:21">
      <c r="A4" s="22">
        <v>3</v>
      </c>
      <c r="B4" s="23" t="s">
        <v>33</v>
      </c>
      <c r="C4" s="23" t="s">
        <v>36</v>
      </c>
      <c r="D4" s="23" t="s">
        <v>37</v>
      </c>
      <c r="E4" s="23" t="str">
        <f>INDEX(Sheet1!C:C,MATCH('Ranking Quantitativo'!C4,Sheet1!B:B,0))</f>
        <v>29250121000173</v>
      </c>
      <c r="F4" s="23">
        <v>3</v>
      </c>
      <c r="G4" s="23">
        <v>30</v>
      </c>
      <c r="H4" s="24">
        <v>4.0000000000000001E-3</v>
      </c>
      <c r="I4" s="24">
        <v>0.98539291194160739</v>
      </c>
      <c r="J4" s="24">
        <v>1.0237355010908356</v>
      </c>
      <c r="K4" s="24">
        <v>1.0522985031983334</v>
      </c>
      <c r="L4" s="24">
        <v>1.1009500431873791</v>
      </c>
      <c r="M4" s="25">
        <v>1.8143026434279E-3</v>
      </c>
      <c r="N4" s="26">
        <v>1.6846202863110895</v>
      </c>
      <c r="O4" s="26">
        <v>-6.6220064138700074E-5</v>
      </c>
      <c r="P4" s="26" t="s">
        <v>72</v>
      </c>
      <c r="Q4" s="26">
        <v>75.624672946101512</v>
      </c>
      <c r="R4" s="26">
        <v>89.204545454545453</v>
      </c>
      <c r="S4" s="26">
        <v>90.384615384615387</v>
      </c>
      <c r="T4" s="26">
        <v>76.923076923076934</v>
      </c>
      <c r="U4" s="27">
        <v>82.10146995861281</v>
      </c>
    </row>
    <row r="5" spans="1:21">
      <c r="A5" s="22">
        <v>4</v>
      </c>
      <c r="B5" s="23" t="s">
        <v>33</v>
      </c>
      <c r="C5" s="23" t="s">
        <v>38</v>
      </c>
      <c r="D5" s="23" t="s">
        <v>39</v>
      </c>
      <c r="E5" s="23" t="str">
        <f>INDEX(Sheet1!C:C,MATCH('Ranking Quantitativo'!C5,Sheet1!B:B,0))</f>
        <v>13823084000105</v>
      </c>
      <c r="F5" s="23">
        <v>11</v>
      </c>
      <c r="G5" s="23">
        <v>30</v>
      </c>
      <c r="H5" s="24">
        <v>6.0000000000000001E-3</v>
      </c>
      <c r="I5" s="24">
        <v>0.98605497069829318</v>
      </c>
      <c r="J5" s="24">
        <v>1.0338814166406951</v>
      </c>
      <c r="K5" s="24">
        <v>1.0724460273019558</v>
      </c>
      <c r="L5" s="24">
        <v>1.140827364558384</v>
      </c>
      <c r="M5" s="25">
        <v>2.8243911594665002E-3</v>
      </c>
      <c r="N5" s="26">
        <v>1.5442973979649419</v>
      </c>
      <c r="O5" s="26">
        <v>-1.0925468666489468E-4</v>
      </c>
      <c r="P5" s="26" t="s">
        <v>72</v>
      </c>
      <c r="Q5" s="26">
        <v>89.489795918367349</v>
      </c>
      <c r="R5" s="26">
        <v>65.305944055944053</v>
      </c>
      <c r="S5" s="26">
        <v>88.461538461538453</v>
      </c>
      <c r="T5" s="26">
        <v>58.461538461538467</v>
      </c>
      <c r="U5" s="27">
        <v>80.135355715712848</v>
      </c>
    </row>
    <row r="6" spans="1:21">
      <c r="A6" s="22">
        <v>5</v>
      </c>
      <c r="B6" s="23" t="s">
        <v>33</v>
      </c>
      <c r="C6" s="23" t="s">
        <v>40</v>
      </c>
      <c r="D6" s="23" t="s">
        <v>35</v>
      </c>
      <c r="E6" s="23" t="str">
        <f>INDEX(Sheet1!C:C,MATCH('Ranking Quantitativo'!C6,Sheet1!B:B,0))</f>
        <v>50098505000109</v>
      </c>
      <c r="F6" s="23">
        <v>11</v>
      </c>
      <c r="G6" s="23">
        <v>30</v>
      </c>
      <c r="H6" s="24">
        <v>6.5000000000000006E-3</v>
      </c>
      <c r="I6" s="24">
        <v>0.99104646582198164</v>
      </c>
      <c r="J6" s="24">
        <v>1.0260059370273129</v>
      </c>
      <c r="K6" s="24">
        <v>1.04168886371488</v>
      </c>
      <c r="L6" s="24"/>
      <c r="M6" s="25">
        <v>9.0431071454879998E-4</v>
      </c>
      <c r="N6" s="26">
        <v>3.7010514699302086</v>
      </c>
      <c r="O6" s="26"/>
      <c r="P6" s="26" t="s">
        <v>73</v>
      </c>
      <c r="Q6" s="26">
        <v>77.811028257456826</v>
      </c>
      <c r="R6" s="26">
        <v>80.917159763313606</v>
      </c>
      <c r="S6" s="26">
        <v>94.230769230769226</v>
      </c>
      <c r="T6" s="26">
        <v>51.538461538461547</v>
      </c>
      <c r="U6" s="27">
        <v>79.244252656683983</v>
      </c>
    </row>
    <row r="7" spans="1:21">
      <c r="A7" s="22">
        <v>6</v>
      </c>
      <c r="B7" s="23" t="s">
        <v>33</v>
      </c>
      <c r="C7" s="23" t="s">
        <v>41</v>
      </c>
      <c r="D7" s="23" t="s">
        <v>42</v>
      </c>
      <c r="E7" s="23" t="str">
        <f>INDEX(Sheet1!C:C,MATCH('Ranking Quantitativo'!C7,Sheet1!B:B,0))</f>
        <v>04240128000183</v>
      </c>
      <c r="F7" s="23">
        <v>11</v>
      </c>
      <c r="G7" s="23">
        <v>16</v>
      </c>
      <c r="H7" s="24">
        <v>5.0000000000000001E-3</v>
      </c>
      <c r="I7" s="24">
        <v>0.92182548129508357</v>
      </c>
      <c r="J7" s="24">
        <v>1.018540321350361</v>
      </c>
      <c r="K7" s="24">
        <v>1.0784636586828538</v>
      </c>
      <c r="L7" s="24">
        <v>1.149774932876992</v>
      </c>
      <c r="M7" s="25">
        <v>2.8298312637800999E-3</v>
      </c>
      <c r="N7" s="26">
        <v>0.84490065007096526</v>
      </c>
      <c r="O7" s="26">
        <v>-1.3747754322268602E-4</v>
      </c>
      <c r="P7" s="26" t="s">
        <v>72</v>
      </c>
      <c r="Q7" s="26">
        <v>82.579147043432755</v>
      </c>
      <c r="R7" s="26">
        <v>62.849650349650346</v>
      </c>
      <c r="S7" s="26">
        <v>78.84615384615384</v>
      </c>
      <c r="T7" s="26">
        <v>77.692307692307693</v>
      </c>
      <c r="U7" s="27">
        <v>76.411490295418872</v>
      </c>
    </row>
    <row r="8" spans="1:21">
      <c r="A8" s="22">
        <v>7</v>
      </c>
      <c r="B8" s="23" t="s">
        <v>33</v>
      </c>
      <c r="C8" s="23" t="s">
        <v>43</v>
      </c>
      <c r="D8" s="23" t="s">
        <v>44</v>
      </c>
      <c r="E8" s="23" t="str">
        <f>INDEX(Sheet1!C:C,MATCH('Ranking Quantitativo'!C8,Sheet1!B:B,0))</f>
        <v>55315627000123</v>
      </c>
      <c r="F8" s="23">
        <v>11</v>
      </c>
      <c r="G8" s="23">
        <v>31</v>
      </c>
      <c r="H8" s="24">
        <v>6.0000000000000001E-3</v>
      </c>
      <c r="I8" s="24">
        <v>0.95253310880710718</v>
      </c>
      <c r="J8" s="24">
        <v>1.022530462273739</v>
      </c>
      <c r="K8" s="24"/>
      <c r="L8" s="24"/>
      <c r="M8" s="25">
        <v>1.9740414972315001E-3</v>
      </c>
      <c r="N8" s="26">
        <v>1.4700026879256951</v>
      </c>
      <c r="O8" s="26">
        <v>-4.1677604049494832E-5</v>
      </c>
      <c r="P8" s="26" t="s">
        <v>74</v>
      </c>
      <c r="Q8" s="26">
        <v>76.730769230769226</v>
      </c>
      <c r="R8" s="26">
        <v>77.211538461538467</v>
      </c>
      <c r="S8" s="26">
        <v>86.538461538461547</v>
      </c>
      <c r="T8" s="26">
        <v>40.57692307692308</v>
      </c>
      <c r="U8" s="27">
        <v>75.197115384615387</v>
      </c>
    </row>
    <row r="9" spans="1:21">
      <c r="A9" s="22">
        <v>8</v>
      </c>
      <c r="B9" s="23" t="s">
        <v>33</v>
      </c>
      <c r="C9" s="23" t="s">
        <v>45</v>
      </c>
      <c r="D9" s="23" t="s">
        <v>46</v>
      </c>
      <c r="E9" s="23" t="str">
        <f>INDEX(Sheet1!C:C,MATCH('Ranking Quantitativo'!C9,Sheet1!B:B,0))</f>
        <v>50697486000137</v>
      </c>
      <c r="F9" s="23">
        <v>11</v>
      </c>
      <c r="G9" s="23">
        <v>31</v>
      </c>
      <c r="H9" s="24">
        <v>6.4000000000000003E-3</v>
      </c>
      <c r="I9" s="24">
        <v>1.0091708655016651</v>
      </c>
      <c r="J9" s="24">
        <v>1.0311738370129051</v>
      </c>
      <c r="K9" s="24">
        <v>1.036443201986436</v>
      </c>
      <c r="L9" s="24"/>
      <c r="M9" s="25">
        <v>1.7909506245896E-3</v>
      </c>
      <c r="N9" s="26">
        <v>2.2400288043511205</v>
      </c>
      <c r="O9" s="26"/>
      <c r="P9" s="26" t="s">
        <v>70</v>
      </c>
      <c r="Q9" s="26">
        <v>75.983614599686035</v>
      </c>
      <c r="R9" s="26">
        <v>71.597633136094672</v>
      </c>
      <c r="S9" s="26">
        <v>92.307692307692307</v>
      </c>
      <c r="T9" s="26">
        <v>34.807692307692307</v>
      </c>
      <c r="U9" s="27">
        <v>74.034342546190075</v>
      </c>
    </row>
    <row r="10" spans="1:21">
      <c r="A10" s="22">
        <v>9</v>
      </c>
      <c r="B10" s="23" t="s">
        <v>33</v>
      </c>
      <c r="C10" s="23" t="s">
        <v>47</v>
      </c>
      <c r="D10" s="23" t="s">
        <v>48</v>
      </c>
      <c r="E10" s="23" t="str">
        <f>INDEX(Sheet1!C:C,MATCH('Ranking Quantitativo'!C10,Sheet1!B:B,0))</f>
        <v>53678015000170</v>
      </c>
      <c r="F10" s="23">
        <v>10</v>
      </c>
      <c r="G10" s="23">
        <v>10</v>
      </c>
      <c r="H10" s="24">
        <v>5.0000000000000001E-3</v>
      </c>
      <c r="I10" s="24">
        <v>0.96502059528392559</v>
      </c>
      <c r="J10" s="24">
        <v>0.99402447760225576</v>
      </c>
      <c r="K10" s="24">
        <v>1.0676059740667374</v>
      </c>
      <c r="L10" s="24"/>
      <c r="M10" s="25">
        <v>1.6284688794644001E-3</v>
      </c>
      <c r="N10" s="26">
        <v>-0.47235098256627678</v>
      </c>
      <c r="O10" s="26">
        <v>-1.4785599259325988E-4</v>
      </c>
      <c r="P10" s="26" t="s">
        <v>75</v>
      </c>
      <c r="Q10" s="26">
        <v>73.817700156985879</v>
      </c>
      <c r="R10" s="26">
        <v>83.400349650349654</v>
      </c>
      <c r="S10" s="26">
        <v>55.769230769230774</v>
      </c>
      <c r="T10" s="26">
        <v>87.5</v>
      </c>
      <c r="U10" s="27">
        <v>73.971898637077217</v>
      </c>
    </row>
    <row r="11" spans="1:21">
      <c r="A11" s="22">
        <v>10</v>
      </c>
      <c r="B11" s="23" t="s">
        <v>33</v>
      </c>
      <c r="C11" s="23" t="s">
        <v>49</v>
      </c>
      <c r="D11" s="23" t="s">
        <v>50</v>
      </c>
      <c r="E11" s="23" t="str">
        <f>INDEX(Sheet1!C:C,MATCH('Ranking Quantitativo'!C11,Sheet1!B:B,0))</f>
        <v>31340838000158</v>
      </c>
      <c r="F11" s="23">
        <v>11</v>
      </c>
      <c r="G11" s="23">
        <v>30</v>
      </c>
      <c r="H11" s="24">
        <v>8.5000000000000006E-3</v>
      </c>
      <c r="I11" s="24">
        <v>1.0243329605112632</v>
      </c>
      <c r="J11" s="24">
        <v>1.0393716253584786</v>
      </c>
      <c r="K11" s="24">
        <v>1.0358202799491372</v>
      </c>
      <c r="L11" s="24">
        <v>1.0672420814625192</v>
      </c>
      <c r="M11" s="25">
        <v>1.2778346882072E-3</v>
      </c>
      <c r="N11" s="26">
        <v>3.962096924683991</v>
      </c>
      <c r="O11" s="26"/>
      <c r="P11" s="26" t="s">
        <v>71</v>
      </c>
      <c r="Q11" s="26">
        <v>68.297357404500261</v>
      </c>
      <c r="R11" s="26">
        <v>78.254437869822482</v>
      </c>
      <c r="S11" s="26">
        <v>96.15384615384616</v>
      </c>
      <c r="T11" s="26">
        <v>42.692307692307693</v>
      </c>
      <c r="U11" s="27">
        <v>73.797420299480734</v>
      </c>
    </row>
    <row r="12" spans="1:21">
      <c r="A12" s="22">
        <v>11</v>
      </c>
      <c r="B12" s="23" t="s">
        <v>33</v>
      </c>
      <c r="C12" s="23" t="s">
        <v>51</v>
      </c>
      <c r="D12" s="23" t="s">
        <v>39</v>
      </c>
      <c r="E12" s="23" t="str">
        <f>INDEX(Sheet1!C:C,MATCH('Ranking Quantitativo'!C12,Sheet1!B:B,0))</f>
        <v>33701828000126</v>
      </c>
      <c r="F12" s="23">
        <v>11</v>
      </c>
      <c r="G12" s="23">
        <v>46</v>
      </c>
      <c r="H12" s="24">
        <v>6.0000000000000001E-3</v>
      </c>
      <c r="I12" s="24">
        <v>0.92288913933860639</v>
      </c>
      <c r="J12" s="24">
        <v>1.003395721429035</v>
      </c>
      <c r="K12" s="24">
        <v>1.0651461893587979</v>
      </c>
      <c r="L12" s="24">
        <v>1.1452215470360594</v>
      </c>
      <c r="M12" s="25">
        <v>1.4793059512696E-3</v>
      </c>
      <c r="N12" s="26">
        <v>0.29654696783702911</v>
      </c>
      <c r="O12" s="26">
        <v>-6.8956247504581292E-5</v>
      </c>
      <c r="P12" s="26" t="s">
        <v>72</v>
      </c>
      <c r="Q12" s="26">
        <v>73.727106227106233</v>
      </c>
      <c r="R12" s="26">
        <v>81.67832167832168</v>
      </c>
      <c r="S12" s="26">
        <v>67.307692307692307</v>
      </c>
      <c r="T12" s="26">
        <v>23.26923076923077</v>
      </c>
      <c r="U12" s="27">
        <v>69.38523976023977</v>
      </c>
    </row>
    <row r="13" spans="1:21">
      <c r="A13" s="22">
        <v>12</v>
      </c>
      <c r="B13" s="23" t="s">
        <v>33</v>
      </c>
      <c r="C13" s="23" t="s">
        <v>52</v>
      </c>
      <c r="D13" s="23" t="s">
        <v>53</v>
      </c>
      <c r="E13" s="23" t="str">
        <f>INDEX(Sheet1!C:C,MATCH('Ranking Quantitativo'!C13,Sheet1!B:B,0))</f>
        <v>49996302000150</v>
      </c>
      <c r="F13" s="23">
        <v>13</v>
      </c>
      <c r="G13" s="23">
        <v>31</v>
      </c>
      <c r="H13" s="24">
        <v>6.0000000000000001E-3</v>
      </c>
      <c r="I13" s="24">
        <v>0.97688368444292561</v>
      </c>
      <c r="J13" s="24">
        <v>1.0135992219300489</v>
      </c>
      <c r="K13" s="24">
        <v>1.0535863716793856</v>
      </c>
      <c r="L13" s="24"/>
      <c r="M13" s="25">
        <v>2.5784676324383002E-3</v>
      </c>
      <c r="N13" s="26">
        <v>0.68050875787755394</v>
      </c>
      <c r="O13" s="26">
        <v>-3.4064309008841054E-4</v>
      </c>
      <c r="P13" s="26" t="s">
        <v>73</v>
      </c>
      <c r="Q13" s="26">
        <v>76.31720957613814</v>
      </c>
      <c r="R13" s="26">
        <v>56.468531468531467</v>
      </c>
      <c r="S13" s="26">
        <v>75</v>
      </c>
      <c r="T13" s="26">
        <v>40.57692307692308</v>
      </c>
      <c r="U13" s="27">
        <v>67.517569484087346</v>
      </c>
    </row>
    <row r="14" spans="1:21">
      <c r="A14" s="22">
        <v>13</v>
      </c>
      <c r="B14" s="23" t="s">
        <v>33</v>
      </c>
      <c r="C14" s="23" t="s">
        <v>54</v>
      </c>
      <c r="D14" s="23" t="s">
        <v>53</v>
      </c>
      <c r="E14" s="23" t="str">
        <f>INDEX(Sheet1!C:C,MATCH('Ranking Quantitativo'!C14,Sheet1!B:B,0))</f>
        <v>34799129000123</v>
      </c>
      <c r="F14" s="23">
        <v>13</v>
      </c>
      <c r="G14" s="23">
        <v>121</v>
      </c>
      <c r="H14" s="24">
        <v>9.0000000000000011E-3</v>
      </c>
      <c r="I14" s="24">
        <v>1.0070400864872149</v>
      </c>
      <c r="J14" s="24">
        <v>1.0440932810302754</v>
      </c>
      <c r="K14" s="24">
        <v>1.081469855235683</v>
      </c>
      <c r="L14" s="24">
        <v>1.12127723364678</v>
      </c>
      <c r="M14" s="25">
        <v>4.4325919415451002E-3</v>
      </c>
      <c r="N14" s="26">
        <v>1.2807941121882651</v>
      </c>
      <c r="O14" s="26">
        <v>-2.0944008899031999E-3</v>
      </c>
      <c r="P14" s="26" t="s">
        <v>71</v>
      </c>
      <c r="Q14" s="26">
        <v>92.646520146520146</v>
      </c>
      <c r="R14" s="26">
        <v>34.947552447552447</v>
      </c>
      <c r="S14" s="26">
        <v>84.615384615384613</v>
      </c>
      <c r="T14" s="26">
        <v>1.5384615384615374</v>
      </c>
      <c r="U14" s="27">
        <v>67.504745254745259</v>
      </c>
    </row>
    <row r="15" spans="1:21">
      <c r="A15" s="22">
        <v>14</v>
      </c>
      <c r="B15" s="23" t="s">
        <v>33</v>
      </c>
      <c r="C15" s="23" t="s">
        <v>55</v>
      </c>
      <c r="D15" s="23" t="s">
        <v>56</v>
      </c>
      <c r="E15" s="23" t="str">
        <f>INDEX(Sheet1!C:C,MATCH('Ranking Quantitativo'!C15,Sheet1!B:B,0))</f>
        <v>42405028000159</v>
      </c>
      <c r="F15" s="23">
        <v>13</v>
      </c>
      <c r="G15" s="23">
        <v>60</v>
      </c>
      <c r="H15" s="24">
        <v>1.04E-2</v>
      </c>
      <c r="I15" s="24">
        <v>0.88847798689993729</v>
      </c>
      <c r="J15" s="24">
        <v>1.0159979193193185</v>
      </c>
      <c r="K15" s="24">
        <v>1.0706601200959234</v>
      </c>
      <c r="L15" s="24">
        <v>1.1167845655287101</v>
      </c>
      <c r="M15" s="25">
        <v>1.9103322200379001E-3</v>
      </c>
      <c r="N15" s="26">
        <v>1.0792760623905302</v>
      </c>
      <c r="O15" s="26">
        <v>-5.2497305465082356E-4</v>
      </c>
      <c r="P15" s="26" t="s">
        <v>72</v>
      </c>
      <c r="Q15" s="26">
        <v>74.817503924646772</v>
      </c>
      <c r="R15" s="26">
        <v>59.41433566433566</v>
      </c>
      <c r="S15" s="26">
        <v>82.692307692307693</v>
      </c>
      <c r="T15" s="26">
        <v>3.0769230769230771</v>
      </c>
      <c r="U15" s="27">
        <v>65.367614528328815</v>
      </c>
    </row>
    <row r="16" spans="1:21">
      <c r="A16" s="22">
        <v>15</v>
      </c>
      <c r="B16" s="23" t="s">
        <v>33</v>
      </c>
      <c r="C16" s="23" t="s">
        <v>57</v>
      </c>
      <c r="D16" s="23" t="s">
        <v>58</v>
      </c>
      <c r="E16" s="23" t="str">
        <f>INDEX(Sheet1!C:C,MATCH('Ranking Quantitativo'!C16,Sheet1!B:B,0))</f>
        <v>45443993000104</v>
      </c>
      <c r="F16" s="23">
        <v>13</v>
      </c>
      <c r="G16" s="23">
        <v>31</v>
      </c>
      <c r="H16" s="24">
        <v>6.9999999999999993E-3</v>
      </c>
      <c r="I16" s="24">
        <v>0.94790078407813039</v>
      </c>
      <c r="J16" s="24">
        <v>0.99977506770625624</v>
      </c>
      <c r="K16" s="24">
        <v>1.0552486917529669</v>
      </c>
      <c r="L16" s="24">
        <v>1.1627683450418509</v>
      </c>
      <c r="M16" s="25">
        <v>2.4863876942886999E-3</v>
      </c>
      <c r="N16" s="26">
        <v>-1.04264203830095E-2</v>
      </c>
      <c r="O16" s="26">
        <v>-2.4751980137605045E-4</v>
      </c>
      <c r="P16" s="26" t="s">
        <v>76</v>
      </c>
      <c r="Q16" s="26">
        <v>74.878990057561481</v>
      </c>
      <c r="R16" s="26">
        <v>58.92482517482518</v>
      </c>
      <c r="S16" s="26">
        <v>63.46153846153846</v>
      </c>
      <c r="T16" s="26">
        <v>30.576923076923073</v>
      </c>
      <c r="U16" s="27">
        <v>64.176751819608953</v>
      </c>
    </row>
    <row r="17" spans="1:21">
      <c r="A17" s="22">
        <v>16</v>
      </c>
      <c r="B17" s="23" t="s">
        <v>33</v>
      </c>
      <c r="C17" s="23" t="s">
        <v>77</v>
      </c>
      <c r="D17" s="23" t="s">
        <v>78</v>
      </c>
      <c r="E17" s="23" t="str">
        <f>INDEX(Sheet1!C:C,MATCH('Ranking Quantitativo'!C17,Sheet1!B:B,0))</f>
        <v>47586648000155</v>
      </c>
      <c r="F17" s="23">
        <v>12</v>
      </c>
      <c r="G17" s="23">
        <v>31</v>
      </c>
      <c r="H17" s="24">
        <v>6.0000000000000001E-3</v>
      </c>
      <c r="I17" s="24">
        <v>0.91901461472505763</v>
      </c>
      <c r="J17" s="24">
        <v>1.0076141709146167</v>
      </c>
      <c r="K17" s="24">
        <v>1.0405800986386498</v>
      </c>
      <c r="L17" s="24">
        <v>1.1129882029284559</v>
      </c>
      <c r="M17" s="25">
        <v>2.197675960947E-3</v>
      </c>
      <c r="N17" s="26">
        <v>0.44745422921840972</v>
      </c>
      <c r="O17" s="26">
        <v>-1.3011986852251578E-4</v>
      </c>
      <c r="P17" s="26" t="s">
        <v>72</v>
      </c>
      <c r="Q17" s="26">
        <v>62.78846153846154</v>
      </c>
      <c r="R17" s="26">
        <v>66.145104895104907</v>
      </c>
      <c r="S17" s="26">
        <v>73.076923076923066</v>
      </c>
      <c r="T17" s="26">
        <v>40.57692307692308</v>
      </c>
      <c r="U17" s="27">
        <v>63.46416083916084</v>
      </c>
    </row>
    <row r="18" spans="1:21">
      <c r="A18" s="22">
        <v>17</v>
      </c>
      <c r="B18" s="23" t="s">
        <v>33</v>
      </c>
      <c r="C18" s="23" t="s">
        <v>79</v>
      </c>
      <c r="D18" s="23" t="s">
        <v>80</v>
      </c>
      <c r="E18" s="23" t="str">
        <f>INDEX(Sheet1!C:C,MATCH('Ranking Quantitativo'!C18,Sheet1!B:B,0))</f>
        <v>11447124000136</v>
      </c>
      <c r="F18" s="23">
        <v>3</v>
      </c>
      <c r="G18" s="23">
        <v>31</v>
      </c>
      <c r="H18" s="24">
        <v>5.0000000000000001E-3</v>
      </c>
      <c r="I18" s="24">
        <v>0.97990776320097317</v>
      </c>
      <c r="J18" s="24">
        <v>1.0039217339533333</v>
      </c>
      <c r="K18" s="24">
        <v>1.0118507746769438</v>
      </c>
      <c r="L18" s="24">
        <v>1.0592283609054731</v>
      </c>
      <c r="M18" s="25">
        <v>1.4395364766520999E-3</v>
      </c>
      <c r="N18" s="26">
        <v>0.35177663532469561</v>
      </c>
      <c r="O18" s="26"/>
      <c r="P18" s="26" t="s">
        <v>72</v>
      </c>
      <c r="Q18" s="26">
        <v>44.561093668236524</v>
      </c>
      <c r="R18" s="26">
        <v>91.272189349112423</v>
      </c>
      <c r="S18" s="26">
        <v>69.230769230769226</v>
      </c>
      <c r="T18" s="26">
        <v>52.884615384615387</v>
      </c>
      <c r="U18" s="27">
        <v>62.005154872599924</v>
      </c>
    </row>
    <row r="19" spans="1:21">
      <c r="A19" s="22">
        <v>18</v>
      </c>
      <c r="B19" s="23" t="s">
        <v>33</v>
      </c>
      <c r="C19" s="23" t="s">
        <v>81</v>
      </c>
      <c r="D19" s="23" t="s">
        <v>82</v>
      </c>
      <c r="E19" s="23" t="str">
        <f>INDEX(Sheet1!C:C,MATCH('Ranking Quantitativo'!C19,Sheet1!B:B,0))</f>
        <v>11447136000160</v>
      </c>
      <c r="F19" s="23">
        <v>11</v>
      </c>
      <c r="G19" s="23">
        <v>31</v>
      </c>
      <c r="H19" s="24">
        <v>5.0000000000000001E-3</v>
      </c>
      <c r="I19" s="24">
        <v>1.0165732748563201</v>
      </c>
      <c r="J19" s="24">
        <v>1.0231728313367467</v>
      </c>
      <c r="K19" s="24">
        <v>1.0202974910958478</v>
      </c>
      <c r="L19" s="24">
        <v>1.0922148799220599</v>
      </c>
      <c r="M19" s="25">
        <v>3.1585151634906999E-3</v>
      </c>
      <c r="N19" s="26">
        <v>0.94583377591637885</v>
      </c>
      <c r="O19" s="26">
        <v>-8.318130509911148E-4</v>
      </c>
      <c r="P19" s="26" t="s">
        <v>71</v>
      </c>
      <c r="Q19" s="26">
        <v>61.784406070120355</v>
      </c>
      <c r="R19" s="26">
        <v>50.70804195804196</v>
      </c>
      <c r="S19" s="26">
        <v>80.769230769230774</v>
      </c>
      <c r="T19" s="26">
        <v>52.884615384615387</v>
      </c>
      <c r="U19" s="27">
        <v>61.922300913372339</v>
      </c>
    </row>
    <row r="20" spans="1:21">
      <c r="A20" s="22">
        <v>19</v>
      </c>
      <c r="B20" s="23" t="s">
        <v>33</v>
      </c>
      <c r="C20" s="23" t="s">
        <v>83</v>
      </c>
      <c r="D20" s="23" t="s">
        <v>84</v>
      </c>
      <c r="E20" s="23" t="str">
        <f>INDEX(Sheet1!C:C,MATCH('Ranking Quantitativo'!C20,Sheet1!B:B,0))</f>
        <v>30056825000199</v>
      </c>
      <c r="F20" s="23">
        <v>6</v>
      </c>
      <c r="G20" s="23">
        <v>16</v>
      </c>
      <c r="H20" s="24">
        <v>6.0000000000000001E-3</v>
      </c>
      <c r="I20" s="24">
        <v>0.95893193033104385</v>
      </c>
      <c r="J20" s="24">
        <v>0.99789546680662577</v>
      </c>
      <c r="K20" s="24">
        <v>1.0227729869159607</v>
      </c>
      <c r="L20" s="24">
        <v>1.0805906114596979</v>
      </c>
      <c r="M20" s="25">
        <v>1.8297901850107001E-3</v>
      </c>
      <c r="N20" s="26">
        <v>-0.1473642823481488</v>
      </c>
      <c r="O20" s="26"/>
      <c r="P20" s="26" t="s">
        <v>76</v>
      </c>
      <c r="Q20" s="26">
        <v>50.238749345892209</v>
      </c>
      <c r="R20" s="26">
        <v>79.73372781065089</v>
      </c>
      <c r="S20" s="26">
        <v>61.53846153846154</v>
      </c>
      <c r="T20" s="26">
        <v>65.384615384615387</v>
      </c>
      <c r="U20" s="27">
        <v>61.38702300446807</v>
      </c>
    </row>
    <row r="21" spans="1:21">
      <c r="A21" s="22">
        <v>20</v>
      </c>
      <c r="B21" s="23" t="s">
        <v>33</v>
      </c>
      <c r="C21" s="23" t="s">
        <v>85</v>
      </c>
      <c r="D21" s="23" t="s">
        <v>86</v>
      </c>
      <c r="E21" s="23" t="str">
        <f>INDEX(Sheet1!C:C,MATCH('Ranking Quantitativo'!C21,Sheet1!B:B,0))</f>
        <v>23714047000112</v>
      </c>
      <c r="F21" s="23">
        <v>10</v>
      </c>
      <c r="G21" s="23">
        <v>31</v>
      </c>
      <c r="H21" s="24">
        <v>2.5000000000000001E-3</v>
      </c>
      <c r="I21" s="24">
        <v>0.98432675550872994</v>
      </c>
      <c r="J21" s="24">
        <v>1.0068782810432291</v>
      </c>
      <c r="K21" s="24">
        <v>1.0069363485227474</v>
      </c>
      <c r="L21" s="24">
        <v>1.0603634679803009</v>
      </c>
      <c r="M21" s="25">
        <v>1.9899828963131001E-3</v>
      </c>
      <c r="N21" s="26">
        <v>0.44631575440797261</v>
      </c>
      <c r="O21" s="26">
        <v>-2.3385031173084325E-4</v>
      </c>
      <c r="P21" s="26" t="s">
        <v>72</v>
      </c>
      <c r="Q21" s="26">
        <v>43.549843014128733</v>
      </c>
      <c r="R21" s="26">
        <v>76.5472027972028</v>
      </c>
      <c r="S21" s="26">
        <v>71.15384615384616</v>
      </c>
      <c r="T21" s="26">
        <v>62.5</v>
      </c>
      <c r="U21" s="27">
        <v>59.214999286427862</v>
      </c>
    </row>
    <row r="22" spans="1:21">
      <c r="A22" s="22">
        <v>21</v>
      </c>
      <c r="B22" s="23" t="s">
        <v>33</v>
      </c>
      <c r="C22" s="23" t="s">
        <v>87</v>
      </c>
      <c r="D22" s="23" t="s">
        <v>88</v>
      </c>
      <c r="E22" s="23" t="str">
        <f>INDEX(Sheet1!C:C,MATCH('Ranking Quantitativo'!C22,Sheet1!B:B,0))</f>
        <v>36318479000156</v>
      </c>
      <c r="F22" s="23">
        <v>11</v>
      </c>
      <c r="G22" s="23">
        <v>30</v>
      </c>
      <c r="H22" s="24">
        <v>6.0000000000000001E-3</v>
      </c>
      <c r="I22" s="24">
        <v>1.0198279205234864</v>
      </c>
      <c r="J22" s="24">
        <v>0.99207862842036099</v>
      </c>
      <c r="K22" s="24">
        <v>1.0656045454128369</v>
      </c>
      <c r="L22" s="24">
        <v>1.1432248766866846</v>
      </c>
      <c r="M22" s="25">
        <v>5.6807037317511003E-3</v>
      </c>
      <c r="N22" s="26">
        <v>-0.17700014392457819</v>
      </c>
      <c r="O22" s="26">
        <v>-5.071022322368E-3</v>
      </c>
      <c r="P22" s="26" t="s">
        <v>72</v>
      </c>
      <c r="Q22" s="26">
        <v>77.132391418105712</v>
      </c>
      <c r="R22" s="26">
        <v>23.75874125874126</v>
      </c>
      <c r="S22" s="26">
        <v>59.615384615384613</v>
      </c>
      <c r="T22" s="26">
        <v>58.461538461538467</v>
      </c>
      <c r="U22" s="27">
        <v>58.418492222063655</v>
      </c>
    </row>
    <row r="23" spans="1:21">
      <c r="A23" s="22">
        <v>22</v>
      </c>
      <c r="B23" s="23" t="s">
        <v>33</v>
      </c>
      <c r="C23" s="23" t="s">
        <v>89</v>
      </c>
      <c r="D23" s="23" t="s">
        <v>90</v>
      </c>
      <c r="E23" s="23" t="str">
        <f>INDEX(Sheet1!C:C,MATCH('Ranking Quantitativo'!C23,Sheet1!B:B,0))</f>
        <v>14171644000157</v>
      </c>
      <c r="F23" s="23">
        <v>11</v>
      </c>
      <c r="G23" s="23">
        <v>31</v>
      </c>
      <c r="H23" s="24">
        <v>5.0000000000000001E-3</v>
      </c>
      <c r="I23" s="24">
        <v>0.96033052366714677</v>
      </c>
      <c r="J23" s="24">
        <v>0.98254251982841245</v>
      </c>
      <c r="K23" s="24">
        <v>1.0354409786495291</v>
      </c>
      <c r="L23" s="24">
        <v>1.1576882643885245</v>
      </c>
      <c r="M23" s="25">
        <v>2.7795453917199E-3</v>
      </c>
      <c r="N23" s="26">
        <v>-0.80908806782677278</v>
      </c>
      <c r="O23" s="26">
        <v>-1.4421601708661999E-3</v>
      </c>
      <c r="P23" s="26" t="s">
        <v>76</v>
      </c>
      <c r="Q23" s="26">
        <v>60.978545264259544</v>
      </c>
      <c r="R23" s="26">
        <v>51.92307692307692</v>
      </c>
      <c r="S23" s="26">
        <v>48.07692307692308</v>
      </c>
      <c r="T23" s="26">
        <v>52.884615384615387</v>
      </c>
      <c r="U23" s="27">
        <v>55.324960753532181</v>
      </c>
    </row>
    <row r="24" spans="1:21">
      <c r="A24" s="22">
        <v>23</v>
      </c>
      <c r="B24" s="23" t="s">
        <v>33</v>
      </c>
      <c r="C24" s="23" t="s">
        <v>91</v>
      </c>
      <c r="D24" s="23" t="s">
        <v>92</v>
      </c>
      <c r="E24" s="23" t="str">
        <f>INDEX(Sheet1!C:C,MATCH('Ranking Quantitativo'!C24,Sheet1!B:B,0))</f>
        <v>37310657000165</v>
      </c>
      <c r="F24" s="23">
        <v>12</v>
      </c>
      <c r="G24" s="23">
        <v>31</v>
      </c>
      <c r="H24" s="24">
        <v>7.6E-3</v>
      </c>
      <c r="I24" s="24">
        <v>0.94798689736525077</v>
      </c>
      <c r="J24" s="24">
        <v>1.030094983665933</v>
      </c>
      <c r="K24" s="24">
        <v>1.0417514563343304</v>
      </c>
      <c r="L24" s="24">
        <v>1.0748776827076012</v>
      </c>
      <c r="M24" s="25">
        <v>5.6043316707622996E-3</v>
      </c>
      <c r="N24" s="26">
        <v>0.69362536470130531</v>
      </c>
      <c r="O24" s="26">
        <v>-3.2790376587353001E-3</v>
      </c>
      <c r="P24" s="26" t="s">
        <v>72</v>
      </c>
      <c r="Q24" s="26">
        <v>66.63854003139717</v>
      </c>
      <c r="R24" s="26">
        <v>25.769230769230766</v>
      </c>
      <c r="S24" s="26">
        <v>76.923076923076934</v>
      </c>
      <c r="T24" s="26">
        <v>26.34615384615384</v>
      </c>
      <c r="U24" s="27">
        <v>54.448881475667186</v>
      </c>
    </row>
    <row r="25" spans="1:21">
      <c r="A25" s="22">
        <v>24</v>
      </c>
      <c r="B25" s="23" t="s">
        <v>33</v>
      </c>
      <c r="C25" s="23" t="s">
        <v>93</v>
      </c>
      <c r="D25" s="23" t="s">
        <v>94</v>
      </c>
      <c r="E25" s="23" t="str">
        <f>INDEX(Sheet1!C:C,MATCH('Ranking Quantitativo'!C25,Sheet1!B:B,0))</f>
        <v>11046179000134</v>
      </c>
      <c r="F25" s="23">
        <v>2</v>
      </c>
      <c r="G25" s="23">
        <v>7</v>
      </c>
      <c r="H25" s="24">
        <v>5.0000000000000001E-3</v>
      </c>
      <c r="I25" s="24">
        <v>0.94833783276237404</v>
      </c>
      <c r="J25" s="24">
        <v>0.98302232139000401</v>
      </c>
      <c r="K25" s="24">
        <v>1.0130693066444278</v>
      </c>
      <c r="L25" s="24">
        <v>1.0664719674536054</v>
      </c>
      <c r="M25" s="25">
        <v>1.0279062454941999E-3</v>
      </c>
      <c r="N25" s="26">
        <v>-2.1307755252753235</v>
      </c>
      <c r="O25" s="26"/>
      <c r="P25" s="26" t="s">
        <v>76</v>
      </c>
      <c r="Q25" s="26">
        <v>39.512689691261116</v>
      </c>
      <c r="R25" s="26">
        <v>97.041420118343197</v>
      </c>
      <c r="S25" s="26">
        <v>7.6923076923076925</v>
      </c>
      <c r="T25" s="26">
        <v>90.384615384615387</v>
      </c>
      <c r="U25" s="27">
        <v>52.617988467576382</v>
      </c>
    </row>
    <row r="26" spans="1:21">
      <c r="A26" s="22">
        <v>25</v>
      </c>
      <c r="B26" s="23" t="s">
        <v>95</v>
      </c>
      <c r="C26" s="23" t="s">
        <v>96</v>
      </c>
      <c r="D26" s="23" t="s">
        <v>97</v>
      </c>
      <c r="E26" s="23" t="str">
        <f>INDEX(Sheet1!C:C,MATCH('Ranking Quantitativo'!C26,Sheet1!B:B,0))</f>
        <v>28767162000179</v>
      </c>
      <c r="F26" s="23">
        <v>13</v>
      </c>
      <c r="G26" s="23">
        <v>46</v>
      </c>
      <c r="H26" s="24">
        <v>1.1000000000000001E-2</v>
      </c>
      <c r="I26" s="24">
        <v>0.87199043058168668</v>
      </c>
      <c r="J26" s="24">
        <v>1.0024599766979383</v>
      </c>
      <c r="K26" s="24">
        <v>1.0721634399755926</v>
      </c>
      <c r="L26" s="24">
        <v>1.1479756671101722</v>
      </c>
      <c r="M26" s="25">
        <v>7.6064925281170998E-3</v>
      </c>
      <c r="N26" s="26">
        <v>4.54660396034198E-2</v>
      </c>
      <c r="O26" s="26">
        <v>-2.6436397616055002E-3</v>
      </c>
      <c r="P26" s="26" t="s">
        <v>72</v>
      </c>
      <c r="Q26" s="26">
        <v>73.959968602825739</v>
      </c>
      <c r="R26" s="26">
        <v>19.720279720279716</v>
      </c>
      <c r="S26" s="26">
        <v>65.384615384615387</v>
      </c>
      <c r="T26" s="26">
        <v>5.1923076923076943</v>
      </c>
      <c r="U26" s="27">
        <v>51.80820964749536</v>
      </c>
    </row>
    <row r="27" spans="1:21">
      <c r="A27" s="22">
        <v>26</v>
      </c>
      <c r="B27" s="23" t="s">
        <v>33</v>
      </c>
      <c r="C27" s="23" t="s">
        <v>98</v>
      </c>
      <c r="D27" s="23" t="s">
        <v>99</v>
      </c>
      <c r="E27" s="23" t="str">
        <f>INDEX(Sheet1!C:C,MATCH('Ranking Quantitativo'!C27,Sheet1!B:B,0))</f>
        <v>18316558000146</v>
      </c>
      <c r="F27" s="23">
        <v>11</v>
      </c>
      <c r="G27" s="23">
        <v>31</v>
      </c>
      <c r="H27" s="24">
        <v>5.0000000000000001E-3</v>
      </c>
      <c r="I27" s="24">
        <v>0.950515642834038</v>
      </c>
      <c r="J27" s="24">
        <v>0.98659176398113557</v>
      </c>
      <c r="K27" s="24">
        <v>1.0126040741245226</v>
      </c>
      <c r="L27" s="24">
        <v>1.0820093130151769</v>
      </c>
      <c r="M27" s="25">
        <v>1.8030726474217999E-3</v>
      </c>
      <c r="N27" s="26">
        <v>-0.95845102660953962</v>
      </c>
      <c r="O27" s="26">
        <v>-3.2458587828665403E-4</v>
      </c>
      <c r="P27" s="26" t="s">
        <v>76</v>
      </c>
      <c r="Q27" s="26">
        <v>43.195316588173725</v>
      </c>
      <c r="R27" s="26">
        <v>73.513986013986013</v>
      </c>
      <c r="S27" s="26">
        <v>38.461538461538467</v>
      </c>
      <c r="T27" s="26">
        <v>52.884615384615387</v>
      </c>
      <c r="U27" s="27">
        <v>50.797158198943912</v>
      </c>
    </row>
    <row r="28" spans="1:21">
      <c r="A28" s="22">
        <v>27</v>
      </c>
      <c r="B28" s="23" t="s">
        <v>95</v>
      </c>
      <c r="C28" s="23" t="s">
        <v>100</v>
      </c>
      <c r="D28" s="23" t="s">
        <v>101</v>
      </c>
      <c r="E28" s="23" t="str">
        <f>INDEX(Sheet1!C:C,MATCH('Ranking Quantitativo'!C28,Sheet1!B:B,0))</f>
        <v>31455879000190</v>
      </c>
      <c r="F28" s="23">
        <v>11</v>
      </c>
      <c r="G28" s="23">
        <v>31</v>
      </c>
      <c r="H28" s="24">
        <v>5.0000000000000001E-3</v>
      </c>
      <c r="I28" s="24">
        <v>0.7541109015802745</v>
      </c>
      <c r="J28" s="24">
        <v>0.97286696444055876</v>
      </c>
      <c r="K28" s="24">
        <v>1.0453429206892149</v>
      </c>
      <c r="L28" s="24">
        <v>1.1144447489566902</v>
      </c>
      <c r="M28" s="25">
        <v>3.7790157451202998E-3</v>
      </c>
      <c r="N28" s="26">
        <v>-0.9252039792154948</v>
      </c>
      <c r="O28" s="26">
        <v>-1.2305928524902999E-3</v>
      </c>
      <c r="P28" s="26" t="s">
        <v>76</v>
      </c>
      <c r="Q28" s="26">
        <v>51.816457352171639</v>
      </c>
      <c r="R28" s="26">
        <v>45.795454545454547</v>
      </c>
      <c r="S28" s="26">
        <v>42.307692307692307</v>
      </c>
      <c r="T28" s="26">
        <v>52.884615384615387</v>
      </c>
      <c r="U28" s="27">
        <v>48.516269444840873</v>
      </c>
    </row>
    <row r="29" spans="1:21">
      <c r="A29" s="22">
        <v>28</v>
      </c>
      <c r="B29" s="23" t="s">
        <v>33</v>
      </c>
      <c r="C29" s="23" t="s">
        <v>102</v>
      </c>
      <c r="D29" s="23" t="s">
        <v>103</v>
      </c>
      <c r="E29" s="23" t="str">
        <f>INDEX(Sheet1!C:C,MATCH('Ranking Quantitativo'!C29,Sheet1!B:B,0))</f>
        <v>15174629000125</v>
      </c>
      <c r="F29" s="23">
        <v>10</v>
      </c>
      <c r="G29" s="23">
        <v>30</v>
      </c>
      <c r="H29" s="24">
        <v>7.4999999999999997E-3</v>
      </c>
      <c r="I29" s="24">
        <v>0.89479790594661379</v>
      </c>
      <c r="J29" s="24">
        <v>0.98193599834926715</v>
      </c>
      <c r="K29" s="24">
        <v>1.0106213803817039</v>
      </c>
      <c r="L29" s="24">
        <v>1.0842766044801111</v>
      </c>
      <c r="M29" s="25">
        <v>3.0975766364641998E-3</v>
      </c>
      <c r="N29" s="26">
        <v>-0.7510148708049591</v>
      </c>
      <c r="O29" s="26">
        <v>-3.4163604085313271E-4</v>
      </c>
      <c r="P29" s="26" t="s">
        <v>76</v>
      </c>
      <c r="Q29" s="26">
        <v>37.254709576138147</v>
      </c>
      <c r="R29" s="26">
        <v>62.115384615384613</v>
      </c>
      <c r="S29" s="26">
        <v>50</v>
      </c>
      <c r="T29" s="26">
        <v>45.769230769230766</v>
      </c>
      <c r="U29" s="27">
        <v>46.870388540031399</v>
      </c>
    </row>
    <row r="30" spans="1:21">
      <c r="A30" s="22">
        <v>29</v>
      </c>
      <c r="B30" s="23" t="s">
        <v>95</v>
      </c>
      <c r="C30" s="23" t="s">
        <v>104</v>
      </c>
      <c r="D30" s="23" t="s">
        <v>105</v>
      </c>
      <c r="E30" s="23" t="str">
        <f>INDEX(Sheet1!C:C,MATCH('Ranking Quantitativo'!C30,Sheet1!B:B,0))</f>
        <v>35378376000119</v>
      </c>
      <c r="F30" s="23">
        <v>11</v>
      </c>
      <c r="G30" s="23">
        <v>30</v>
      </c>
      <c r="H30" s="24">
        <v>5.0000000000000001E-3</v>
      </c>
      <c r="I30" s="24">
        <v>0.83030926859300624</v>
      </c>
      <c r="J30" s="24">
        <v>0.97629061474998535</v>
      </c>
      <c r="K30" s="24">
        <v>1.0296785309712269</v>
      </c>
      <c r="L30" s="24">
        <v>1.1156469876161463</v>
      </c>
      <c r="M30" s="25">
        <v>2.1268133889374E-3</v>
      </c>
      <c r="N30" s="26">
        <v>-1.4380562724580996</v>
      </c>
      <c r="O30" s="26">
        <v>-1.1280110813667E-3</v>
      </c>
      <c r="P30" s="26" t="s">
        <v>76</v>
      </c>
      <c r="Q30" s="26">
        <v>45.477498691784405</v>
      </c>
      <c r="R30" s="26">
        <v>58.706293706293714</v>
      </c>
      <c r="S30" s="26">
        <v>21.153846153846153</v>
      </c>
      <c r="T30" s="26">
        <v>70.769230769230774</v>
      </c>
      <c r="U30" s="27">
        <v>46.44914014556872</v>
      </c>
    </row>
    <row r="31" spans="1:21">
      <c r="A31" s="22">
        <v>30</v>
      </c>
      <c r="B31" s="23" t="s">
        <v>33</v>
      </c>
      <c r="C31" s="23" t="s">
        <v>106</v>
      </c>
      <c r="D31" s="23" t="s">
        <v>107</v>
      </c>
      <c r="E31" s="23" t="str">
        <f>INDEX(Sheet1!C:C,MATCH('Ranking Quantitativo'!C31,Sheet1!B:B,0))</f>
        <v>52285852000176</v>
      </c>
      <c r="F31" s="23">
        <v>11</v>
      </c>
      <c r="G31" s="23">
        <v>31</v>
      </c>
      <c r="H31" s="24">
        <v>6.0000000000000001E-3</v>
      </c>
      <c r="I31" s="24">
        <v>0.80508326738720026</v>
      </c>
      <c r="J31" s="24">
        <v>0.98670528140906155</v>
      </c>
      <c r="K31" s="24">
        <v>1.0406336509598584</v>
      </c>
      <c r="L31" s="24"/>
      <c r="M31" s="25">
        <v>7.6044769578499996E-3</v>
      </c>
      <c r="N31" s="26">
        <v>-0.22175690962678901</v>
      </c>
      <c r="O31" s="26">
        <v>-2.3221545959904999E-3</v>
      </c>
      <c r="P31" s="26" t="s">
        <v>75</v>
      </c>
      <c r="Q31" s="26">
        <v>52.001569858712728</v>
      </c>
      <c r="R31" s="26">
        <v>29.702797202797203</v>
      </c>
      <c r="S31" s="26">
        <v>57.692307692307686</v>
      </c>
      <c r="T31" s="26">
        <v>40.57692307692308</v>
      </c>
      <c r="U31" s="27">
        <v>46.422559583273873</v>
      </c>
    </row>
    <row r="32" spans="1:21">
      <c r="A32" s="22">
        <v>31</v>
      </c>
      <c r="B32" s="23" t="s">
        <v>33</v>
      </c>
      <c r="C32" s="23" t="s">
        <v>108</v>
      </c>
      <c r="D32" s="23" t="s">
        <v>109</v>
      </c>
      <c r="E32" s="23" t="str">
        <f>INDEX(Sheet1!C:C,MATCH('Ranking Quantitativo'!C32,Sheet1!B:B,0))</f>
        <v>14188162000100</v>
      </c>
      <c r="F32" s="23">
        <v>6</v>
      </c>
      <c r="G32" s="23">
        <v>31</v>
      </c>
      <c r="H32" s="24">
        <v>3.0000000000000001E-3</v>
      </c>
      <c r="I32" s="24">
        <v>0.95362954399176358</v>
      </c>
      <c r="J32" s="24">
        <v>0.96076638481300136</v>
      </c>
      <c r="K32" s="24">
        <v>1.0288730398613366</v>
      </c>
      <c r="L32" s="24">
        <v>1.1239353489079826</v>
      </c>
      <c r="M32" s="25">
        <v>3.8982926227122002E-3</v>
      </c>
      <c r="N32" s="26">
        <v>-1.2985932456862022</v>
      </c>
      <c r="O32" s="26">
        <v>-2.1809493954375999E-3</v>
      </c>
      <c r="P32" s="26" t="s">
        <v>76</v>
      </c>
      <c r="Q32" s="26">
        <v>48.697671376242802</v>
      </c>
      <c r="R32" s="26">
        <v>49.632867132867133</v>
      </c>
      <c r="S32" s="26">
        <v>28.846153846153843</v>
      </c>
      <c r="T32" s="26">
        <v>61.730769230769234</v>
      </c>
      <c r="U32" s="27">
        <v>46.264476594833738</v>
      </c>
    </row>
    <row r="33" spans="1:21">
      <c r="A33" s="22">
        <v>32</v>
      </c>
      <c r="B33" s="23" t="s">
        <v>95</v>
      </c>
      <c r="C33" s="23" t="s">
        <v>110</v>
      </c>
      <c r="D33" s="23" t="s">
        <v>109</v>
      </c>
      <c r="E33" s="23" t="str">
        <f>INDEX(Sheet1!C:C,MATCH('Ranking Quantitativo'!C33,Sheet1!B:B,0))</f>
        <v>32757330000112</v>
      </c>
      <c r="F33" s="23">
        <v>10</v>
      </c>
      <c r="G33" s="23">
        <v>31</v>
      </c>
      <c r="H33" s="24">
        <v>3.4999999999999996E-3</v>
      </c>
      <c r="I33" s="24">
        <v>0.94630209297677037</v>
      </c>
      <c r="J33" s="24">
        <v>0.95084131465044397</v>
      </c>
      <c r="K33" s="24">
        <v>1.0395762841271072</v>
      </c>
      <c r="L33" s="24">
        <v>1.1568513251425678</v>
      </c>
      <c r="M33" s="25">
        <v>5.2645791380443001E-3</v>
      </c>
      <c r="N33" s="26">
        <v>-1.2047816444308428</v>
      </c>
      <c r="O33" s="26">
        <v>-2.4009558406706002E-3</v>
      </c>
      <c r="P33" s="26" t="s">
        <v>76</v>
      </c>
      <c r="Q33" s="26">
        <v>50.871271585557295</v>
      </c>
      <c r="R33" s="26">
        <v>41.599650349650354</v>
      </c>
      <c r="S33" s="26">
        <v>32.692307692307693</v>
      </c>
      <c r="T33" s="26">
        <v>60.192307692307686</v>
      </c>
      <c r="U33" s="27">
        <v>45.849677108605682</v>
      </c>
    </row>
    <row r="34" spans="1:21">
      <c r="A34" s="22">
        <v>33</v>
      </c>
      <c r="B34" s="23" t="s">
        <v>33</v>
      </c>
      <c r="C34" s="23" t="s">
        <v>111</v>
      </c>
      <c r="D34" s="23" t="s">
        <v>112</v>
      </c>
      <c r="E34" s="23" t="str">
        <f>INDEX(Sheet1!C:C,MATCH('Ranking Quantitativo'!C34,Sheet1!B:B,0))</f>
        <v>49984055000172</v>
      </c>
      <c r="F34" s="23">
        <v>11</v>
      </c>
      <c r="G34" s="23">
        <v>10</v>
      </c>
      <c r="H34" s="24">
        <v>6.5000000000000006E-3</v>
      </c>
      <c r="I34" s="24">
        <v>0.92424354103495399</v>
      </c>
      <c r="J34" s="24">
        <v>0.97851547884466195</v>
      </c>
      <c r="K34" s="24">
        <v>1.0064495307959236</v>
      </c>
      <c r="L34" s="24"/>
      <c r="M34" s="25">
        <v>2.0671094447465002E-3</v>
      </c>
      <c r="N34" s="26">
        <v>-1.3405149491170585</v>
      </c>
      <c r="O34" s="26">
        <v>-3.6899504041176812E-4</v>
      </c>
      <c r="P34" s="26" t="s">
        <v>75</v>
      </c>
      <c r="Q34" s="26">
        <v>34.114992150706442</v>
      </c>
      <c r="R34" s="26">
        <v>65.93531468531468</v>
      </c>
      <c r="S34" s="26">
        <v>25</v>
      </c>
      <c r="T34" s="26">
        <v>68.269230769230774</v>
      </c>
      <c r="U34" s="27">
        <v>43.662498216069643</v>
      </c>
    </row>
    <row r="35" spans="1:21">
      <c r="A35" s="22">
        <v>34</v>
      </c>
      <c r="B35" s="23" t="s">
        <v>33</v>
      </c>
      <c r="C35" s="23" t="s">
        <v>113</v>
      </c>
      <c r="D35" s="23" t="s">
        <v>114</v>
      </c>
      <c r="E35" s="23" t="str">
        <f>INDEX(Sheet1!C:C,MATCH('Ranking Quantitativo'!C35,Sheet1!B:B,0))</f>
        <v>29044189000104</v>
      </c>
      <c r="F35" s="23">
        <v>10</v>
      </c>
      <c r="G35" s="23">
        <v>31</v>
      </c>
      <c r="H35" s="24">
        <v>5.0000000000000001E-3</v>
      </c>
      <c r="I35" s="24">
        <v>0.74337488462363333</v>
      </c>
      <c r="J35" s="24">
        <v>0.96118165481270157</v>
      </c>
      <c r="K35" s="24">
        <v>1.0444993949193693</v>
      </c>
      <c r="L35" s="24">
        <v>1.0966219461152886</v>
      </c>
      <c r="M35" s="25">
        <v>9.3705504046319998E-3</v>
      </c>
      <c r="N35" s="26">
        <v>-0.53063586551697894</v>
      </c>
      <c r="O35" s="26">
        <v>-3.0525598039889E-3</v>
      </c>
      <c r="P35" s="26" t="s">
        <v>76</v>
      </c>
      <c r="Q35" s="26">
        <v>46.039377289377285</v>
      </c>
      <c r="R35" s="26">
        <v>26.372377622377623</v>
      </c>
      <c r="S35" s="26">
        <v>53.846153846153847</v>
      </c>
      <c r="T35" s="26">
        <v>52.884615384615387</v>
      </c>
      <c r="U35" s="27">
        <v>43.368506493506494</v>
      </c>
    </row>
    <row r="36" spans="1:21">
      <c r="A36" s="22">
        <v>35</v>
      </c>
      <c r="B36" s="23" t="s">
        <v>33</v>
      </c>
      <c r="C36" s="23" t="s">
        <v>115</v>
      </c>
      <c r="D36" s="23" t="s">
        <v>116</v>
      </c>
      <c r="E36" s="23" t="str">
        <f>INDEX(Sheet1!C:C,MATCH('Ranking Quantitativo'!C36,Sheet1!B:B,0))</f>
        <v>54026669000181</v>
      </c>
      <c r="F36" s="23">
        <v>13</v>
      </c>
      <c r="G36" s="23">
        <v>30</v>
      </c>
      <c r="H36" s="24">
        <v>6.6E-3</v>
      </c>
      <c r="I36" s="24">
        <v>0.86673011080846862</v>
      </c>
      <c r="J36" s="24">
        <v>0.97639139214855941</v>
      </c>
      <c r="K36" s="24"/>
      <c r="L36" s="24"/>
      <c r="M36" s="25">
        <v>2.7935003204874E-3</v>
      </c>
      <c r="N36" s="26">
        <v>-1.0896059079486908</v>
      </c>
      <c r="O36" s="26">
        <v>-1.1184834790013E-3</v>
      </c>
      <c r="P36" s="26" t="s">
        <v>117</v>
      </c>
      <c r="Q36" s="26">
        <v>41.92307692307692</v>
      </c>
      <c r="R36" s="26">
        <v>46.71328671328672</v>
      </c>
      <c r="S36" s="26">
        <v>36.538461538461533</v>
      </c>
      <c r="T36" s="26">
        <v>50.384615384615387</v>
      </c>
      <c r="U36" s="27">
        <v>42.88986013986014</v>
      </c>
    </row>
    <row r="37" spans="1:21">
      <c r="A37" s="22">
        <v>36</v>
      </c>
      <c r="B37" s="23" t="s">
        <v>33</v>
      </c>
      <c r="C37" s="23" t="s">
        <v>118</v>
      </c>
      <c r="D37" s="23" t="s">
        <v>119</v>
      </c>
      <c r="E37" s="23" t="str">
        <f>INDEX(Sheet1!C:C,MATCH('Ranking Quantitativo'!C37,Sheet1!B:B,0))</f>
        <v>27826059000190</v>
      </c>
      <c r="F37" s="23">
        <v>3</v>
      </c>
      <c r="G37" s="23">
        <v>15</v>
      </c>
      <c r="H37" s="24">
        <v>6.0000000000000001E-3</v>
      </c>
      <c r="I37" s="24">
        <v>0.85776955403962374</v>
      </c>
      <c r="J37" s="24">
        <v>0.96919987741103641</v>
      </c>
      <c r="K37" s="24">
        <v>1.0160276769100041</v>
      </c>
      <c r="L37" s="24">
        <v>1.0655431070927504</v>
      </c>
      <c r="M37" s="25">
        <v>2.9961542959187001E-3</v>
      </c>
      <c r="N37" s="26">
        <v>-1.3261805459499849</v>
      </c>
      <c r="O37" s="26">
        <v>-4.0110056799813609E-4</v>
      </c>
      <c r="P37" s="26" t="s">
        <v>76</v>
      </c>
      <c r="Q37" s="26">
        <v>31.510989010989011</v>
      </c>
      <c r="R37" s="26">
        <v>65.01748251748252</v>
      </c>
      <c r="S37" s="26">
        <v>26.923076923076923</v>
      </c>
      <c r="T37" s="26">
        <v>68.84615384615384</v>
      </c>
      <c r="U37" s="27">
        <v>42.703546453546451</v>
      </c>
    </row>
    <row r="38" spans="1:21">
      <c r="A38" s="22">
        <v>37</v>
      </c>
      <c r="B38" s="23" t="s">
        <v>33</v>
      </c>
      <c r="C38" s="23" t="s">
        <v>120</v>
      </c>
      <c r="D38" s="23" t="s">
        <v>121</v>
      </c>
      <c r="E38" s="23" t="str">
        <f>INDEX(Sheet1!C:C,MATCH('Ranking Quantitativo'!C38,Sheet1!B:B,0))</f>
        <v>43917493000131</v>
      </c>
      <c r="F38" s="23">
        <v>10</v>
      </c>
      <c r="G38" s="23">
        <v>11</v>
      </c>
      <c r="H38" s="24">
        <v>5.0000000000000001E-3</v>
      </c>
      <c r="I38" s="24">
        <v>0.95176387617889224</v>
      </c>
      <c r="J38" s="24">
        <v>0.95195683254195762</v>
      </c>
      <c r="K38" s="24">
        <v>1.0423083726480569</v>
      </c>
      <c r="L38" s="24">
        <v>1.0569232916838376</v>
      </c>
      <c r="M38" s="25">
        <v>6.9089981466892002E-3</v>
      </c>
      <c r="N38" s="26">
        <v>-0.89563835125954638</v>
      </c>
      <c r="O38" s="26">
        <v>-6.3271516669069997E-3</v>
      </c>
      <c r="P38" s="26" t="s">
        <v>76</v>
      </c>
      <c r="Q38" s="26">
        <v>41.536499215070641</v>
      </c>
      <c r="R38" s="26">
        <v>23.610139860139864</v>
      </c>
      <c r="S38" s="26">
        <v>44.230769230769226</v>
      </c>
      <c r="T38" s="26">
        <v>84.615384615384613</v>
      </c>
      <c r="U38" s="27">
        <v>41.901651919509064</v>
      </c>
    </row>
    <row r="39" spans="1:21">
      <c r="A39" s="22">
        <v>38</v>
      </c>
      <c r="B39" s="23" t="s">
        <v>33</v>
      </c>
      <c r="C39" s="23" t="s">
        <v>122</v>
      </c>
      <c r="D39" s="23" t="s">
        <v>123</v>
      </c>
      <c r="E39" s="23" t="str">
        <f>INDEX(Sheet1!C:C,MATCH('Ranking Quantitativo'!C39,Sheet1!B:B,0))</f>
        <v>32756812000158</v>
      </c>
      <c r="F39" s="23">
        <v>11</v>
      </c>
      <c r="G39" s="23">
        <v>31</v>
      </c>
      <c r="H39" s="24">
        <v>6.0000000000000001E-3</v>
      </c>
      <c r="I39" s="24">
        <v>0.77323813943661168</v>
      </c>
      <c r="J39" s="24">
        <v>0.96393559006464102</v>
      </c>
      <c r="K39" s="24">
        <v>1.0439670768622411</v>
      </c>
      <c r="L39" s="24">
        <v>1.072982206783007</v>
      </c>
      <c r="M39" s="25">
        <v>4.9718171030279004E-3</v>
      </c>
      <c r="N39" s="26">
        <v>-0.93468304641820998</v>
      </c>
      <c r="O39" s="26">
        <v>-2.4993917445121001E-3</v>
      </c>
      <c r="P39" s="26" t="s">
        <v>76</v>
      </c>
      <c r="Q39" s="26">
        <v>43.156070120355835</v>
      </c>
      <c r="R39" s="26">
        <v>36.765734265734267</v>
      </c>
      <c r="S39" s="26">
        <v>40.384615384615387</v>
      </c>
      <c r="T39" s="26">
        <v>40.57692307692308</v>
      </c>
      <c r="U39" s="27">
        <v>40.746280505209079</v>
      </c>
    </row>
    <row r="40" spans="1:21">
      <c r="A40" s="22">
        <v>39</v>
      </c>
      <c r="B40" s="23" t="s">
        <v>95</v>
      </c>
      <c r="C40" s="23" t="s">
        <v>124</v>
      </c>
      <c r="D40" s="23" t="s">
        <v>125</v>
      </c>
      <c r="E40" s="23" t="str">
        <f>INDEX(Sheet1!C:C,MATCH('Ranking Quantitativo'!C40,Sheet1!B:B,0))</f>
        <v>41888492000180</v>
      </c>
      <c r="F40" s="23">
        <v>3</v>
      </c>
      <c r="G40" s="23">
        <v>31</v>
      </c>
      <c r="H40" s="24">
        <v>5.0000000000000001E-3</v>
      </c>
      <c r="I40" s="24">
        <v>0.79245189074427591</v>
      </c>
      <c r="J40" s="24">
        <v>0.94911335510830441</v>
      </c>
      <c r="K40" s="24">
        <v>1.0371471769723983</v>
      </c>
      <c r="L40" s="24">
        <v>1.0696855193203949</v>
      </c>
      <c r="M40" s="25">
        <v>4.7315142684978004E-3</v>
      </c>
      <c r="N40" s="26">
        <v>-1.3884551952841799</v>
      </c>
      <c r="O40" s="26">
        <v>-8.933580047507661E-4</v>
      </c>
      <c r="P40" s="26" t="s">
        <v>76</v>
      </c>
      <c r="Q40" s="26">
        <v>32.301151229722656</v>
      </c>
      <c r="R40" s="26">
        <v>55.777972027972034</v>
      </c>
      <c r="S40" s="26">
        <v>23.076923076923077</v>
      </c>
      <c r="T40" s="26">
        <v>52.884615384615387</v>
      </c>
      <c r="U40" s="27">
        <v>38.383857214214359</v>
      </c>
    </row>
    <row r="41" spans="1:21">
      <c r="A41" s="22">
        <v>40</v>
      </c>
      <c r="B41" s="23" t="s">
        <v>33</v>
      </c>
      <c r="C41" s="23" t="s">
        <v>126</v>
      </c>
      <c r="D41" s="23" t="s">
        <v>107</v>
      </c>
      <c r="E41" s="23" t="str">
        <f>INDEX(Sheet1!C:C,MATCH('Ranking Quantitativo'!C41,Sheet1!B:B,0))</f>
        <v>30568495000110</v>
      </c>
      <c r="F41" s="23">
        <v>11</v>
      </c>
      <c r="G41" s="23">
        <v>31</v>
      </c>
      <c r="H41" s="24">
        <v>6.0000000000000001E-3</v>
      </c>
      <c r="I41" s="24">
        <v>0.79286146228462329</v>
      </c>
      <c r="J41" s="24">
        <v>0.96014290290540161</v>
      </c>
      <c r="K41" s="24">
        <v>1.0222382101104079</v>
      </c>
      <c r="L41" s="24">
        <v>1.1111354499468269</v>
      </c>
      <c r="M41" s="25">
        <v>7.9160025387004004E-3</v>
      </c>
      <c r="N41" s="26">
        <v>-0.64672075673124074</v>
      </c>
      <c r="O41" s="26">
        <v>-4.5086537877515997E-3</v>
      </c>
      <c r="P41" s="26" t="s">
        <v>76</v>
      </c>
      <c r="Q41" s="26">
        <v>36.696101517530089</v>
      </c>
      <c r="R41" s="26">
        <v>17.631118881118883</v>
      </c>
      <c r="S41" s="26">
        <v>51.923076923076927</v>
      </c>
      <c r="T41" s="26">
        <v>40.57692307692308</v>
      </c>
      <c r="U41" s="27">
        <v>35.363333095475959</v>
      </c>
    </row>
    <row r="42" spans="1:21">
      <c r="A42" s="22">
        <v>41</v>
      </c>
      <c r="B42" s="23" t="s">
        <v>33</v>
      </c>
      <c r="C42" s="23" t="s">
        <v>127</v>
      </c>
      <c r="D42" s="23" t="s">
        <v>94</v>
      </c>
      <c r="E42" s="23" t="str">
        <f>INDEX(Sheet1!C:C,MATCH('Ranking Quantitativo'!C42,Sheet1!B:B,0))</f>
        <v>04621721000170</v>
      </c>
      <c r="F42" s="23">
        <v>4</v>
      </c>
      <c r="G42" s="23">
        <v>30</v>
      </c>
      <c r="H42" s="24">
        <v>7.4999999999999997E-3</v>
      </c>
      <c r="I42" s="24">
        <v>0.90411903234618685</v>
      </c>
      <c r="J42" s="24">
        <v>0.95142644660494857</v>
      </c>
      <c r="K42" s="24">
        <v>1.0077959272595451</v>
      </c>
      <c r="L42" s="24">
        <v>1.0650162157416654</v>
      </c>
      <c r="M42" s="25">
        <v>2.7124756736190002E-3</v>
      </c>
      <c r="N42" s="26">
        <v>-2.3140898801489009</v>
      </c>
      <c r="O42" s="26">
        <v>-7.1626440637118094E-4</v>
      </c>
      <c r="P42" s="26" t="s">
        <v>76</v>
      </c>
      <c r="Q42" s="26">
        <v>24.765175300889585</v>
      </c>
      <c r="R42" s="26">
        <v>66.599650349650346</v>
      </c>
      <c r="S42" s="26">
        <v>5.7692307692307692</v>
      </c>
      <c r="T42" s="26">
        <v>45.769230769230766</v>
      </c>
      <c r="U42" s="27">
        <v>33.525010703582133</v>
      </c>
    </row>
    <row r="43" spans="1:21">
      <c r="A43" s="22">
        <v>42</v>
      </c>
      <c r="B43" s="23" t="s">
        <v>33</v>
      </c>
      <c r="C43" s="23" t="s">
        <v>128</v>
      </c>
      <c r="D43" s="23" t="s">
        <v>129</v>
      </c>
      <c r="E43" s="23" t="str">
        <f>INDEX(Sheet1!C:C,MATCH('Ranking Quantitativo'!C43,Sheet1!B:B,0))</f>
        <v>48122126000165</v>
      </c>
      <c r="F43" s="23">
        <v>2</v>
      </c>
      <c r="G43" s="23">
        <v>31</v>
      </c>
      <c r="H43" s="24">
        <v>5.7999999999999996E-3</v>
      </c>
      <c r="I43" s="24">
        <v>0.73707336716781413</v>
      </c>
      <c r="J43" s="24">
        <v>0.942777116100595</v>
      </c>
      <c r="K43" s="24">
        <v>1.0297814927708298</v>
      </c>
      <c r="L43" s="24">
        <v>1.1103527808572553</v>
      </c>
      <c r="M43" s="25">
        <v>5.0000216474814004E-3</v>
      </c>
      <c r="N43" s="26">
        <v>-1.4781131898955775</v>
      </c>
      <c r="O43" s="26">
        <v>-3.6213204346099998E-3</v>
      </c>
      <c r="P43" s="26" t="s">
        <v>76</v>
      </c>
      <c r="Q43" s="26">
        <v>32.550366300366299</v>
      </c>
      <c r="R43" s="26">
        <v>42.47377622377622</v>
      </c>
      <c r="S43" s="26">
        <v>17.307692307692307</v>
      </c>
      <c r="T43" s="26">
        <v>46.346153846153847</v>
      </c>
      <c r="U43" s="27">
        <v>33.362262737262739</v>
      </c>
    </row>
    <row r="44" spans="1:21">
      <c r="A44" s="22">
        <v>43</v>
      </c>
      <c r="B44" s="23" t="s">
        <v>33</v>
      </c>
      <c r="C44" s="23" t="s">
        <v>130</v>
      </c>
      <c r="D44" s="23" t="s">
        <v>131</v>
      </c>
      <c r="E44" s="23" t="str">
        <f>INDEX(Sheet1!C:C,MATCH('Ranking Quantitativo'!C44,Sheet1!B:B,0))</f>
        <v>24572219000123</v>
      </c>
      <c r="F44" s="23">
        <v>11</v>
      </c>
      <c r="G44" s="23">
        <v>12</v>
      </c>
      <c r="H44" s="24">
        <v>3.0999999999999999E-3</v>
      </c>
      <c r="I44" s="24">
        <v>0.79086389760797338</v>
      </c>
      <c r="J44" s="24">
        <v>0.95100356034870004</v>
      </c>
      <c r="K44" s="24">
        <v>1.0071960687500014</v>
      </c>
      <c r="L44" s="24">
        <v>1.0569978006238077</v>
      </c>
      <c r="M44" s="25">
        <v>2.3657837900190998E-3</v>
      </c>
      <c r="N44" s="26">
        <v>-2.6767627410385666</v>
      </c>
      <c r="O44" s="26">
        <v>-3.8159748004995553E-4</v>
      </c>
      <c r="P44" s="26" t="s">
        <v>76</v>
      </c>
      <c r="Q44" s="26">
        <v>18.113553113553113</v>
      </c>
      <c r="R44" s="26">
        <v>62.543706293706293</v>
      </c>
      <c r="S44" s="26">
        <v>1.9230769230769231</v>
      </c>
      <c r="T44" s="26">
        <v>91.538461538461547</v>
      </c>
      <c r="U44" s="27">
        <v>33.325487012987018</v>
      </c>
    </row>
    <row r="45" spans="1:21">
      <c r="A45" s="22">
        <v>44</v>
      </c>
      <c r="B45" s="23" t="s">
        <v>33</v>
      </c>
      <c r="C45" s="23" t="s">
        <v>132</v>
      </c>
      <c r="D45" s="23" t="s">
        <v>48</v>
      </c>
      <c r="E45" s="23" t="str">
        <f>INDEX(Sheet1!C:C,MATCH('Ranking Quantitativo'!C45,Sheet1!B:B,0))</f>
        <v>47684408000193</v>
      </c>
      <c r="F45" s="23">
        <v>13</v>
      </c>
      <c r="G45" s="23">
        <v>31</v>
      </c>
      <c r="H45" s="24">
        <v>6.9999999999999993E-3</v>
      </c>
      <c r="I45" s="24">
        <v>0.76948747641846793</v>
      </c>
      <c r="J45" s="24">
        <v>0.95090823973101524</v>
      </c>
      <c r="K45" s="24">
        <v>1.0356554002027645</v>
      </c>
      <c r="L45" s="24">
        <v>1.1496449325599529</v>
      </c>
      <c r="M45" s="25">
        <v>3.7223658969845002E-3</v>
      </c>
      <c r="N45" s="26">
        <v>-1.7034563271751757</v>
      </c>
      <c r="O45" s="26">
        <v>-2.7642464667693E-3</v>
      </c>
      <c r="P45" s="26" t="s">
        <v>76</v>
      </c>
      <c r="Q45" s="26">
        <v>42.373757195185767</v>
      </c>
      <c r="R45" s="26">
        <v>32.77097902097902</v>
      </c>
      <c r="S45" s="26">
        <v>13.461538461538462</v>
      </c>
      <c r="T45" s="26">
        <v>30.576923076923073</v>
      </c>
      <c r="U45" s="27">
        <v>33.01093549307835</v>
      </c>
    </row>
    <row r="46" spans="1:21">
      <c r="A46" s="22">
        <v>45</v>
      </c>
      <c r="B46" s="23" t="s">
        <v>33</v>
      </c>
      <c r="C46" s="23" t="s">
        <v>133</v>
      </c>
      <c r="D46" s="23" t="s">
        <v>97</v>
      </c>
      <c r="E46" s="23" t="str">
        <f>INDEX(Sheet1!C:C,MATCH('Ranking Quantitativo'!C46,Sheet1!B:B,0))</f>
        <v>23956069000199</v>
      </c>
      <c r="F46" s="23">
        <v>11</v>
      </c>
      <c r="G46" s="23">
        <v>46</v>
      </c>
      <c r="H46" s="24">
        <v>6.0000000000000001E-3</v>
      </c>
      <c r="I46" s="24">
        <v>0.91745490258834839</v>
      </c>
      <c r="J46" s="24">
        <v>0.94129600525020241</v>
      </c>
      <c r="K46" s="24">
        <v>1.0274640662103909</v>
      </c>
      <c r="L46" s="24">
        <v>1.1100453492345006</v>
      </c>
      <c r="M46" s="25">
        <v>6.7702761129396997E-3</v>
      </c>
      <c r="N46" s="26">
        <v>-1.1185004693349614</v>
      </c>
      <c r="O46" s="26">
        <v>-4.1982158015927001E-3</v>
      </c>
      <c r="P46" s="26" t="s">
        <v>76</v>
      </c>
      <c r="Q46" s="26">
        <v>34.756671899529046</v>
      </c>
      <c r="R46" s="26">
        <v>23.47902097902098</v>
      </c>
      <c r="S46" s="26">
        <v>34.615384615384613</v>
      </c>
      <c r="T46" s="26">
        <v>23.26923076923077</v>
      </c>
      <c r="U46" s="27">
        <v>30.760257599543316</v>
      </c>
    </row>
    <row r="47" spans="1:21">
      <c r="A47" s="22">
        <v>46</v>
      </c>
      <c r="B47" s="23" t="s">
        <v>33</v>
      </c>
      <c r="C47" s="23" t="s">
        <v>134</v>
      </c>
      <c r="D47" s="23" t="s">
        <v>135</v>
      </c>
      <c r="E47" s="23" t="str">
        <f>INDEX(Sheet1!C:C,MATCH('Ranking Quantitativo'!C47,Sheet1!B:B,0))</f>
        <v>10326625000100</v>
      </c>
      <c r="F47" s="23">
        <v>11</v>
      </c>
      <c r="G47" s="23">
        <v>15</v>
      </c>
      <c r="H47" s="24">
        <v>5.0000000000000001E-3</v>
      </c>
      <c r="I47" s="24">
        <v>0.8002622904835669</v>
      </c>
      <c r="J47" s="24">
        <v>0.92904985513136962</v>
      </c>
      <c r="K47" s="24">
        <v>1.0036622045396306</v>
      </c>
      <c r="L47" s="24">
        <v>1.0691138872534158</v>
      </c>
      <c r="M47" s="25">
        <v>1.0950841470491E-2</v>
      </c>
      <c r="N47" s="26">
        <v>-0.83348932414453203</v>
      </c>
      <c r="O47" s="26">
        <v>-5.4411072013414996E-3</v>
      </c>
      <c r="P47" s="26" t="s">
        <v>76</v>
      </c>
      <c r="Q47" s="26">
        <v>16.913265306122447</v>
      </c>
      <c r="R47" s="26">
        <v>11.713286713286717</v>
      </c>
      <c r="S47" s="26">
        <v>46.153846153846153</v>
      </c>
      <c r="T47" s="26">
        <v>81.15384615384616</v>
      </c>
      <c r="U47" s="27">
        <v>27.885444912230628</v>
      </c>
    </row>
    <row r="48" spans="1:21">
      <c r="A48" s="22">
        <v>47</v>
      </c>
      <c r="B48" s="23" t="s">
        <v>33</v>
      </c>
      <c r="C48" s="23" t="s">
        <v>136</v>
      </c>
      <c r="D48" s="23" t="s">
        <v>125</v>
      </c>
      <c r="E48" s="23" t="str">
        <f>INDEX(Sheet1!C:C,MATCH('Ranking Quantitativo'!C48,Sheet1!B:B,0))</f>
        <v>35789436000196</v>
      </c>
      <c r="F48" s="23">
        <v>5</v>
      </c>
      <c r="G48" s="23">
        <v>61</v>
      </c>
      <c r="H48" s="24">
        <v>6.9999999999999993E-3</v>
      </c>
      <c r="I48" s="24">
        <v>0.65847119921925268</v>
      </c>
      <c r="J48" s="24">
        <v>0.91150325476830862</v>
      </c>
      <c r="K48" s="24">
        <v>1.0413851504914662</v>
      </c>
      <c r="L48" s="24">
        <v>1.0328471884414818</v>
      </c>
      <c r="M48" s="25">
        <v>8.8856153522801993E-3</v>
      </c>
      <c r="N48" s="26">
        <v>-1.2866758408302257</v>
      </c>
      <c r="O48" s="26">
        <v>-1.9808393469030999E-3</v>
      </c>
      <c r="P48" s="26" t="s">
        <v>76</v>
      </c>
      <c r="Q48" s="26">
        <v>24.127420198848771</v>
      </c>
      <c r="R48" s="26">
        <v>37.08916083916084</v>
      </c>
      <c r="S48" s="26">
        <v>30.76923076923077</v>
      </c>
      <c r="T48" s="26">
        <v>9.2307692307692335</v>
      </c>
      <c r="U48" s="27">
        <v>27.206552376195237</v>
      </c>
    </row>
    <row r="49" spans="1:21">
      <c r="A49" s="22">
        <v>48</v>
      </c>
      <c r="B49" s="23" t="s">
        <v>95</v>
      </c>
      <c r="C49" s="23" t="s">
        <v>137</v>
      </c>
      <c r="D49" s="23" t="s">
        <v>138</v>
      </c>
      <c r="E49" s="23" t="str">
        <f>INDEX(Sheet1!C:C,MATCH('Ranking Quantitativo'!C49,Sheet1!B:B,0))</f>
        <v>34370777000160</v>
      </c>
      <c r="F49" s="23">
        <v>13</v>
      </c>
      <c r="G49" s="23">
        <v>45</v>
      </c>
      <c r="H49" s="24">
        <v>8.0000000000000002E-3</v>
      </c>
      <c r="I49" s="24">
        <v>0.46648352677915561</v>
      </c>
      <c r="J49" s="24">
        <v>0.89943745784611329</v>
      </c>
      <c r="K49" s="24">
        <v>1.0148355026168769</v>
      </c>
      <c r="L49" s="24">
        <v>1.1835584292344761</v>
      </c>
      <c r="M49" s="25">
        <v>8.1035881999098995E-3</v>
      </c>
      <c r="N49" s="26">
        <v>-1.6059331279977884</v>
      </c>
      <c r="O49" s="26">
        <v>-1.0210292390875E-2</v>
      </c>
      <c r="P49" s="26" t="s">
        <v>76</v>
      </c>
      <c r="Q49" s="26">
        <v>30.93995290423862</v>
      </c>
      <c r="R49" s="26">
        <v>6.8531468531468533</v>
      </c>
      <c r="S49" s="26">
        <v>15.384615384615385</v>
      </c>
      <c r="T49" s="26">
        <v>11.73076923076923</v>
      </c>
      <c r="U49" s="27">
        <v>19.886265520194094</v>
      </c>
    </row>
    <row r="50" spans="1:21">
      <c r="A50" s="22">
        <v>49</v>
      </c>
      <c r="B50" s="23" t="s">
        <v>33</v>
      </c>
      <c r="C50" s="23" t="s">
        <v>139</v>
      </c>
      <c r="D50" s="23" t="s">
        <v>140</v>
      </c>
      <c r="E50" s="23" t="str">
        <f>INDEX(Sheet1!C:C,MATCH('Ranking Quantitativo'!C50,Sheet1!B:B,0))</f>
        <v>45081757000195</v>
      </c>
      <c r="F50" s="23">
        <v>10</v>
      </c>
      <c r="G50" s="23">
        <v>10</v>
      </c>
      <c r="H50" s="24">
        <v>5.0000000000000001E-3</v>
      </c>
      <c r="I50" s="24">
        <v>0.62795628269501758</v>
      </c>
      <c r="J50" s="24">
        <v>0.82261766727056629</v>
      </c>
      <c r="K50" s="24">
        <v>0.9213837402581786</v>
      </c>
      <c r="L50" s="24">
        <v>0.98756223915210983</v>
      </c>
      <c r="M50" s="25">
        <v>6.5844892196734997E-3</v>
      </c>
      <c r="N50" s="26">
        <v>-3.5092550729875129</v>
      </c>
      <c r="O50" s="26">
        <v>-3.6221402369432001E-3</v>
      </c>
      <c r="P50" s="26" t="s">
        <v>141</v>
      </c>
      <c r="Q50" s="26">
        <v>2.6268969126111985</v>
      </c>
      <c r="R50" s="26">
        <v>31.774475524475527</v>
      </c>
      <c r="S50" s="26">
        <v>0</v>
      </c>
      <c r="T50" s="26">
        <v>87.5</v>
      </c>
      <c r="U50" s="27">
        <v>17.875722491793923</v>
      </c>
    </row>
    <row r="51" spans="1:21">
      <c r="A51" s="22">
        <v>50</v>
      </c>
      <c r="B51" s="23" t="s">
        <v>95</v>
      </c>
      <c r="C51" s="23" t="s">
        <v>142</v>
      </c>
      <c r="D51" s="23" t="s">
        <v>143</v>
      </c>
      <c r="E51" s="23" t="str">
        <f>INDEX(Sheet1!C:C,MATCH('Ranking Quantitativo'!C51,Sheet1!B:B,0))</f>
        <v>35648999000164</v>
      </c>
      <c r="F51" s="23">
        <v>11</v>
      </c>
      <c r="G51" s="23">
        <v>31</v>
      </c>
      <c r="H51" s="24">
        <v>6.0000000000000001E-3</v>
      </c>
      <c r="I51" s="24">
        <v>0.5859925910408037</v>
      </c>
      <c r="J51" s="24">
        <v>0.87834516338583635</v>
      </c>
      <c r="K51" s="24">
        <v>0.99947266748014962</v>
      </c>
      <c r="L51" s="24">
        <v>1.0961954040933777</v>
      </c>
      <c r="M51" s="25">
        <v>6.6295612778650998E-3</v>
      </c>
      <c r="N51" s="26">
        <v>-2.3806561557073498</v>
      </c>
      <c r="O51" s="26">
        <v>-4.3796552676547001E-3</v>
      </c>
      <c r="P51" s="26" t="s">
        <v>144</v>
      </c>
      <c r="Q51" s="26">
        <v>13.759811616954476</v>
      </c>
      <c r="R51" s="26">
        <v>23.54895104895105</v>
      </c>
      <c r="S51" s="26">
        <v>3.8461538461538463</v>
      </c>
      <c r="T51" s="26">
        <v>40.57692307692308</v>
      </c>
      <c r="U51" s="27">
        <v>16.906076066790355</v>
      </c>
    </row>
    <row r="52" spans="1:21">
      <c r="A52" s="22">
        <v>51</v>
      </c>
      <c r="B52" s="23" t="s">
        <v>33</v>
      </c>
      <c r="C52" s="23" t="s">
        <v>145</v>
      </c>
      <c r="D52" s="23" t="s">
        <v>146</v>
      </c>
      <c r="E52" s="23" t="str">
        <f>INDEX(Sheet1!C:C,MATCH('Ranking Quantitativo'!C52,Sheet1!B:B,0))</f>
        <v>59063042000114</v>
      </c>
      <c r="F52" s="23">
        <v>13</v>
      </c>
      <c r="G52" s="23">
        <v>16</v>
      </c>
      <c r="H52" s="24">
        <v>6.0000000000000001E-3</v>
      </c>
      <c r="I52" s="24">
        <v>0.64720347736261541</v>
      </c>
      <c r="J52" s="24">
        <v>0.88443994887083066</v>
      </c>
      <c r="K52" s="24"/>
      <c r="L52" s="24"/>
      <c r="M52" s="25">
        <v>1.01216428022171E-2</v>
      </c>
      <c r="N52" s="26">
        <v>-1.4776053339191968</v>
      </c>
      <c r="O52" s="26">
        <v>-4.4950419300641004E-3</v>
      </c>
      <c r="P52" s="26" t="s">
        <v>117</v>
      </c>
      <c r="Q52" s="26">
        <v>6.3461538461538458</v>
      </c>
      <c r="R52" s="26">
        <v>8.2342657342657333</v>
      </c>
      <c r="S52" s="26">
        <v>19.230769230769234</v>
      </c>
      <c r="T52" s="26">
        <v>65.384615384615387</v>
      </c>
      <c r="U52" s="27">
        <v>15.298951048951048</v>
      </c>
    </row>
    <row r="53" spans="1:21">
      <c r="A53" s="22">
        <v>52</v>
      </c>
      <c r="B53" s="23" t="s">
        <v>33</v>
      </c>
      <c r="C53" s="23" t="s">
        <v>147</v>
      </c>
      <c r="D53" s="23" t="s">
        <v>94</v>
      </c>
      <c r="E53" s="23" t="str">
        <f>INDEX(Sheet1!C:C,MATCH('Ranking Quantitativo'!C53,Sheet1!B:B,0))</f>
        <v>23999611000190</v>
      </c>
      <c r="F53" s="23">
        <v>13</v>
      </c>
      <c r="G53" s="23">
        <v>46</v>
      </c>
      <c r="H53" s="24">
        <v>7.4999999999999997E-3</v>
      </c>
      <c r="I53" s="24">
        <v>0.85425666072816608</v>
      </c>
      <c r="J53" s="24">
        <v>0.91773384765411603</v>
      </c>
      <c r="K53" s="24">
        <v>0.96923434100906003</v>
      </c>
      <c r="L53" s="24">
        <v>1.0633103057280759</v>
      </c>
      <c r="M53" s="25">
        <v>5.7765024305693998E-3</v>
      </c>
      <c r="N53" s="26">
        <v>-1.8425661799098965</v>
      </c>
      <c r="O53" s="26">
        <v>-2.9162324727315999E-3</v>
      </c>
      <c r="P53" s="26" t="s">
        <v>144</v>
      </c>
      <c r="Q53" s="26">
        <v>13.500130821559392</v>
      </c>
      <c r="R53" s="26">
        <v>23.32167832167832</v>
      </c>
      <c r="S53" s="26">
        <v>11.538461538461538</v>
      </c>
      <c r="T53" s="26">
        <v>10.576923076923078</v>
      </c>
      <c r="U53" s="27">
        <v>15.270863065505921</v>
      </c>
    </row>
    <row r="54" spans="1:21">
      <c r="A54" s="28">
        <v>53</v>
      </c>
      <c r="B54" s="29" t="s">
        <v>33</v>
      </c>
      <c r="C54" s="29" t="s">
        <v>148</v>
      </c>
      <c r="D54" s="29" t="s">
        <v>149</v>
      </c>
      <c r="E54" s="23" t="str">
        <f>INDEX(Sheet1!C:C,MATCH('Ranking Quantitativo'!C54,Sheet1!B:B,0))</f>
        <v>20146294000171</v>
      </c>
      <c r="F54" s="29">
        <v>10</v>
      </c>
      <c r="G54" s="29">
        <v>45</v>
      </c>
      <c r="H54" s="30">
        <v>5.5000000000000005E-3</v>
      </c>
      <c r="I54" s="30">
        <v>0.32078721350450662</v>
      </c>
      <c r="J54" s="30">
        <v>0.70555820928374324</v>
      </c>
      <c r="K54" s="30">
        <v>0.76350067903824659</v>
      </c>
      <c r="L54" s="30">
        <v>0.8585749478788951</v>
      </c>
      <c r="M54" s="31">
        <v>1.8893781741770799E-2</v>
      </c>
      <c r="N54" s="32">
        <v>-2.038253381896455</v>
      </c>
      <c r="O54" s="32">
        <v>-1.2329056648808999E-2</v>
      </c>
      <c r="P54" s="32" t="s">
        <v>141</v>
      </c>
      <c r="Q54" s="32">
        <v>0</v>
      </c>
      <c r="R54" s="32">
        <v>14.230769230769234</v>
      </c>
      <c r="S54" s="32">
        <v>9.6153846153846168</v>
      </c>
      <c r="T54" s="32">
        <v>33.269230769230774</v>
      </c>
      <c r="U54" s="33">
        <v>8.8076923076923084</v>
      </c>
    </row>
  </sheetData>
  <conditionalFormatting sqref="B2:B54">
    <cfRule type="expression" dxfId="1" priority="2">
      <formula>$B2="Cliente"</formula>
    </cfRule>
  </conditionalFormatting>
  <conditionalFormatting sqref="U2:U5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98EF-612A-476A-9794-67804A90A888}">
  <dimension ref="B2:D56"/>
  <sheetViews>
    <sheetView topLeftCell="A27" workbookViewId="0">
      <selection activeCell="B49" sqref="B49"/>
    </sheetView>
  </sheetViews>
  <sheetFormatPr defaultRowHeight="14.25"/>
  <cols>
    <col min="2" max="2" width="52.125" bestFit="1" customWidth="1"/>
    <col min="3" max="4" width="15" style="42" bestFit="1" customWidth="1"/>
  </cols>
  <sheetData>
    <row r="2" spans="2:3">
      <c r="B2" t="s">
        <v>22</v>
      </c>
      <c r="C2" s="42" t="s">
        <v>218</v>
      </c>
    </row>
    <row r="3" spans="2:3">
      <c r="B3" s="23" t="s">
        <v>31</v>
      </c>
      <c r="C3" s="43" t="s">
        <v>219</v>
      </c>
    </row>
    <row r="4" spans="2:3">
      <c r="B4" s="23" t="s">
        <v>34</v>
      </c>
      <c r="C4" s="42" t="s">
        <v>220</v>
      </c>
    </row>
    <row r="5" spans="2:3">
      <c r="B5" s="23" t="s">
        <v>36</v>
      </c>
      <c r="C5" s="42" t="s">
        <v>221</v>
      </c>
    </row>
    <row r="6" spans="2:3">
      <c r="B6" s="23" t="s">
        <v>38</v>
      </c>
      <c r="C6" s="42" t="s">
        <v>222</v>
      </c>
    </row>
    <row r="7" spans="2:3">
      <c r="B7" s="23" t="s">
        <v>40</v>
      </c>
      <c r="C7" s="42" t="s">
        <v>223</v>
      </c>
    </row>
    <row r="8" spans="2:3">
      <c r="B8" s="23" t="s">
        <v>41</v>
      </c>
      <c r="C8" s="42" t="s">
        <v>270</v>
      </c>
    </row>
    <row r="9" spans="2:3">
      <c r="B9" s="23" t="s">
        <v>43</v>
      </c>
      <c r="C9" s="42" t="s">
        <v>224</v>
      </c>
    </row>
    <row r="10" spans="2:3">
      <c r="B10" s="23" t="s">
        <v>45</v>
      </c>
      <c r="C10" s="42" t="s">
        <v>225</v>
      </c>
    </row>
    <row r="11" spans="2:3">
      <c r="B11" s="23" t="s">
        <v>47</v>
      </c>
      <c r="C11" s="42" t="s">
        <v>226</v>
      </c>
    </row>
    <row r="12" spans="2:3">
      <c r="B12" s="23" t="s">
        <v>49</v>
      </c>
      <c r="C12" s="42" t="s">
        <v>227</v>
      </c>
    </row>
    <row r="13" spans="2:3">
      <c r="B13" s="23" t="s">
        <v>51</v>
      </c>
      <c r="C13" s="42" t="s">
        <v>228</v>
      </c>
    </row>
    <row r="14" spans="2:3">
      <c r="B14" s="23" t="s">
        <v>52</v>
      </c>
      <c r="C14" s="42" t="s">
        <v>229</v>
      </c>
    </row>
    <row r="15" spans="2:3">
      <c r="B15" s="23" t="s">
        <v>54</v>
      </c>
      <c r="C15" s="42" t="s">
        <v>230</v>
      </c>
    </row>
    <row r="16" spans="2:3">
      <c r="B16" s="23" t="s">
        <v>55</v>
      </c>
      <c r="C16" s="42" t="s">
        <v>231</v>
      </c>
    </row>
    <row r="17" spans="2:3">
      <c r="B17" s="23" t="s">
        <v>57</v>
      </c>
      <c r="C17" s="42" t="s">
        <v>232</v>
      </c>
    </row>
    <row r="18" spans="2:3">
      <c r="B18" s="23" t="s">
        <v>77</v>
      </c>
      <c r="C18" s="42" t="s">
        <v>233</v>
      </c>
    </row>
    <row r="19" spans="2:3">
      <c r="B19" s="23" t="s">
        <v>79</v>
      </c>
      <c r="C19" s="42" t="s">
        <v>234</v>
      </c>
    </row>
    <row r="20" spans="2:3">
      <c r="B20" s="23" t="s">
        <v>81</v>
      </c>
      <c r="C20" s="42" t="s">
        <v>235</v>
      </c>
    </row>
    <row r="21" spans="2:3">
      <c r="B21" s="23" t="s">
        <v>83</v>
      </c>
      <c r="C21" s="42" t="s">
        <v>236</v>
      </c>
    </row>
    <row r="22" spans="2:3">
      <c r="B22" s="23" t="s">
        <v>85</v>
      </c>
      <c r="C22" s="42" t="s">
        <v>237</v>
      </c>
    </row>
    <row r="23" spans="2:3">
      <c r="B23" s="23" t="s">
        <v>87</v>
      </c>
      <c r="C23" s="42" t="s">
        <v>238</v>
      </c>
    </row>
    <row r="24" spans="2:3">
      <c r="B24" s="23" t="s">
        <v>89</v>
      </c>
      <c r="C24" s="42" t="s">
        <v>239</v>
      </c>
    </row>
    <row r="25" spans="2:3">
      <c r="B25" s="23" t="s">
        <v>91</v>
      </c>
      <c r="C25" s="42" t="s">
        <v>240</v>
      </c>
    </row>
    <row r="26" spans="2:3">
      <c r="B26" s="23" t="s">
        <v>93</v>
      </c>
      <c r="C26" s="42" t="s">
        <v>241</v>
      </c>
    </row>
    <row r="27" spans="2:3">
      <c r="B27" s="23" t="s">
        <v>96</v>
      </c>
      <c r="C27" s="42" t="s">
        <v>242</v>
      </c>
    </row>
    <row r="28" spans="2:3">
      <c r="B28" s="23" t="s">
        <v>98</v>
      </c>
      <c r="C28" s="42" t="s">
        <v>243</v>
      </c>
    </row>
    <row r="29" spans="2:3">
      <c r="B29" s="23" t="s">
        <v>100</v>
      </c>
      <c r="C29" s="42" t="s">
        <v>244</v>
      </c>
    </row>
    <row r="30" spans="2:3">
      <c r="B30" s="23" t="s">
        <v>102</v>
      </c>
      <c r="C30" s="42" t="s">
        <v>245</v>
      </c>
    </row>
    <row r="31" spans="2:3">
      <c r="B31" s="23" t="s">
        <v>104</v>
      </c>
      <c r="C31" s="42" t="s">
        <v>246</v>
      </c>
    </row>
    <row r="32" spans="2:3">
      <c r="B32" s="23" t="s">
        <v>106</v>
      </c>
      <c r="C32" s="42" t="s">
        <v>247</v>
      </c>
    </row>
    <row r="33" spans="2:3">
      <c r="B33" s="23" t="s">
        <v>108</v>
      </c>
      <c r="C33" s="42" t="s">
        <v>248</v>
      </c>
    </row>
    <row r="34" spans="2:3">
      <c r="B34" s="23" t="s">
        <v>110</v>
      </c>
      <c r="C34" s="42" t="s">
        <v>249</v>
      </c>
    </row>
    <row r="35" spans="2:3">
      <c r="B35" s="23" t="s">
        <v>111</v>
      </c>
      <c r="C35" s="42" t="s">
        <v>250</v>
      </c>
    </row>
    <row r="36" spans="2:3">
      <c r="B36" s="23" t="s">
        <v>113</v>
      </c>
      <c r="C36" s="42" t="s">
        <v>251</v>
      </c>
    </row>
    <row r="37" spans="2:3">
      <c r="B37" s="23" t="s">
        <v>115</v>
      </c>
      <c r="C37" s="42" t="s">
        <v>252</v>
      </c>
    </row>
    <row r="38" spans="2:3">
      <c r="B38" s="23" t="s">
        <v>118</v>
      </c>
      <c r="C38" s="42" t="s">
        <v>253</v>
      </c>
    </row>
    <row r="39" spans="2:3">
      <c r="B39" s="23" t="s">
        <v>120</v>
      </c>
      <c r="C39" s="42" t="s">
        <v>254</v>
      </c>
    </row>
    <row r="40" spans="2:3">
      <c r="B40" s="23" t="s">
        <v>122</v>
      </c>
      <c r="C40" s="42" t="s">
        <v>255</v>
      </c>
    </row>
    <row r="41" spans="2:3">
      <c r="B41" s="23" t="s">
        <v>124</v>
      </c>
      <c r="C41" s="42" t="s">
        <v>256</v>
      </c>
    </row>
    <row r="42" spans="2:3">
      <c r="B42" s="23" t="s">
        <v>126</v>
      </c>
      <c r="C42" s="42" t="s">
        <v>257</v>
      </c>
    </row>
    <row r="43" spans="2:3">
      <c r="B43" s="23" t="s">
        <v>127</v>
      </c>
      <c r="C43" s="42" t="s">
        <v>271</v>
      </c>
    </row>
    <row r="44" spans="2:3">
      <c r="B44" s="23" t="s">
        <v>128</v>
      </c>
      <c r="C44" s="42" t="s">
        <v>258</v>
      </c>
    </row>
    <row r="45" spans="2:3">
      <c r="B45" s="23" t="s">
        <v>130</v>
      </c>
      <c r="C45" s="42" t="s">
        <v>259</v>
      </c>
    </row>
    <row r="46" spans="2:3">
      <c r="B46" s="23" t="s">
        <v>132</v>
      </c>
      <c r="C46" s="42" t="s">
        <v>260</v>
      </c>
    </row>
    <row r="47" spans="2:3">
      <c r="B47" s="23" t="s">
        <v>133</v>
      </c>
      <c r="C47" s="42" t="s">
        <v>261</v>
      </c>
    </row>
    <row r="48" spans="2:3">
      <c r="B48" s="23" t="s">
        <v>134</v>
      </c>
      <c r="C48" s="42" t="s">
        <v>262</v>
      </c>
    </row>
    <row r="49" spans="2:3">
      <c r="B49" s="23" t="s">
        <v>136</v>
      </c>
      <c r="C49" s="42" t="s">
        <v>263</v>
      </c>
    </row>
    <row r="50" spans="2:3">
      <c r="B50" s="23" t="s">
        <v>137</v>
      </c>
      <c r="C50" s="42" t="s">
        <v>264</v>
      </c>
    </row>
    <row r="51" spans="2:3">
      <c r="B51" s="23" t="s">
        <v>139</v>
      </c>
      <c r="C51" s="42" t="s">
        <v>265</v>
      </c>
    </row>
    <row r="52" spans="2:3">
      <c r="B52" s="23" t="s">
        <v>142</v>
      </c>
      <c r="C52" s="42" t="s">
        <v>266</v>
      </c>
    </row>
    <row r="53" spans="2:3">
      <c r="B53" s="23" t="s">
        <v>145</v>
      </c>
      <c r="C53" s="42" t="s">
        <v>267</v>
      </c>
    </row>
    <row r="54" spans="2:3">
      <c r="B54" s="23" t="s">
        <v>147</v>
      </c>
      <c r="C54" s="42" t="s">
        <v>268</v>
      </c>
    </row>
    <row r="55" spans="2:3">
      <c r="B55" s="29" t="s">
        <v>148</v>
      </c>
      <c r="C55" s="42" t="s">
        <v>269</v>
      </c>
    </row>
    <row r="56" spans="2:3">
      <c r="B56" s="41" t="s">
        <v>136</v>
      </c>
      <c r="C56" s="42" t="s">
        <v>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"/>
  <sheetViews>
    <sheetView workbookViewId="0">
      <selection activeCell="C2" sqref="C2"/>
    </sheetView>
  </sheetViews>
  <sheetFormatPr defaultRowHeight="14.25"/>
  <cols>
    <col min="1" max="1" width="12.625" customWidth="1"/>
    <col min="2" max="2" width="11.25" customWidth="1"/>
    <col min="3" max="3" width="42.25" customWidth="1"/>
    <col min="4" max="4" width="24.625" customWidth="1"/>
    <col min="5" max="5" width="11.625" customWidth="1"/>
    <col min="6" max="6" width="8.375" customWidth="1"/>
    <col min="7" max="9" width="8.75" customWidth="1"/>
    <col min="10" max="10" width="6.75" customWidth="1"/>
    <col min="11" max="11" width="9.875" customWidth="1"/>
    <col min="12" max="12" width="10.625" customWidth="1"/>
    <col min="13" max="13" width="8.75" customWidth="1"/>
    <col min="14" max="14" width="55" customWidth="1"/>
  </cols>
  <sheetData>
    <row r="1" spans="1:14" ht="30">
      <c r="A1" s="19" t="s">
        <v>150</v>
      </c>
      <c r="B1" s="20" t="s">
        <v>59</v>
      </c>
      <c r="C1" s="20" t="s">
        <v>22</v>
      </c>
      <c r="D1" s="20" t="s">
        <v>23</v>
      </c>
      <c r="E1" s="20" t="s">
        <v>25</v>
      </c>
      <c r="F1" s="20" t="s">
        <v>62</v>
      </c>
      <c r="G1" s="20" t="s">
        <v>26</v>
      </c>
      <c r="H1" s="20" t="s">
        <v>27</v>
      </c>
      <c r="I1" s="20" t="s">
        <v>28</v>
      </c>
      <c r="J1" s="20" t="s">
        <v>29</v>
      </c>
      <c r="K1" s="20" t="s">
        <v>18</v>
      </c>
      <c r="L1" s="20" t="s">
        <v>63</v>
      </c>
      <c r="M1" s="20" t="s">
        <v>69</v>
      </c>
      <c r="N1" s="21" t="s">
        <v>151</v>
      </c>
    </row>
    <row r="2" spans="1:14" ht="28.5">
      <c r="A2" s="22">
        <v>1</v>
      </c>
      <c r="B2" s="23">
        <v>25</v>
      </c>
      <c r="C2" s="40" t="s">
        <v>96</v>
      </c>
      <c r="D2" s="23" t="s">
        <v>97</v>
      </c>
      <c r="E2" s="23">
        <v>46</v>
      </c>
      <c r="F2" s="24">
        <v>0.87199043058168668</v>
      </c>
      <c r="G2" s="24">
        <v>1.0024599766979383</v>
      </c>
      <c r="H2" s="24">
        <v>1.0721634399755926</v>
      </c>
      <c r="I2" s="24">
        <v>1.1479756671101722</v>
      </c>
      <c r="J2" s="25">
        <v>7.6064925281170998E-3</v>
      </c>
      <c r="K2" s="26">
        <v>4.54660396034198E-2</v>
      </c>
      <c r="L2" s="26">
        <v>-2.6436397616055002E-3</v>
      </c>
      <c r="M2" s="26">
        <v>51.80820964749536</v>
      </c>
      <c r="N2" s="34" t="s">
        <v>152</v>
      </c>
    </row>
    <row r="3" spans="1:14" ht="28.5">
      <c r="A3" s="22">
        <v>2</v>
      </c>
      <c r="B3" s="23">
        <v>27</v>
      </c>
      <c r="C3" s="23" t="s">
        <v>100</v>
      </c>
      <c r="D3" s="23" t="s">
        <v>101</v>
      </c>
      <c r="E3" s="23">
        <v>31</v>
      </c>
      <c r="F3" s="24">
        <v>0.7541109015802745</v>
      </c>
      <c r="G3" s="24">
        <v>0.97286696444055876</v>
      </c>
      <c r="H3" s="24">
        <v>1.0453429206892149</v>
      </c>
      <c r="I3" s="24">
        <v>1.1144447489566902</v>
      </c>
      <c r="J3" s="25">
        <v>3.7790157451202998E-3</v>
      </c>
      <c r="K3" s="26">
        <v>-0.9252039792154948</v>
      </c>
      <c r="L3" s="26">
        <v>-1.2305928524902999E-3</v>
      </c>
      <c r="M3" s="26">
        <v>48.516269444840873</v>
      </c>
      <c r="N3" s="34" t="s">
        <v>153</v>
      </c>
    </row>
    <row r="4" spans="1:14" ht="28.5">
      <c r="A4" s="22">
        <v>3</v>
      </c>
      <c r="B4" s="23">
        <v>29</v>
      </c>
      <c r="C4" s="23" t="s">
        <v>104</v>
      </c>
      <c r="D4" s="23" t="s">
        <v>105</v>
      </c>
      <c r="E4" s="23">
        <v>30</v>
      </c>
      <c r="F4" s="24">
        <v>0.83030926859300624</v>
      </c>
      <c r="G4" s="24">
        <v>0.97629061474998535</v>
      </c>
      <c r="H4" s="24">
        <v>1.0296785309712269</v>
      </c>
      <c r="I4" s="24">
        <v>1.1156469876161463</v>
      </c>
      <c r="J4" s="25">
        <v>2.1268133889374E-3</v>
      </c>
      <c r="K4" s="26">
        <v>-1.4380562724580996</v>
      </c>
      <c r="L4" s="26">
        <v>-1.1280110813667E-3</v>
      </c>
      <c r="M4" s="26">
        <v>46.44914014556872</v>
      </c>
      <c r="N4" s="34" t="s">
        <v>153</v>
      </c>
    </row>
    <row r="5" spans="1:14" ht="28.5">
      <c r="A5" s="22">
        <v>4</v>
      </c>
      <c r="B5" s="23">
        <v>32</v>
      </c>
      <c r="C5" s="23" t="s">
        <v>110</v>
      </c>
      <c r="D5" s="23" t="s">
        <v>109</v>
      </c>
      <c r="E5" s="23">
        <v>31</v>
      </c>
      <c r="F5" s="24">
        <v>0.94630209297677037</v>
      </c>
      <c r="G5" s="24">
        <v>0.95084131465044397</v>
      </c>
      <c r="H5" s="24">
        <v>1.0395762841271072</v>
      </c>
      <c r="I5" s="24">
        <v>1.1568513251425678</v>
      </c>
      <c r="J5" s="25">
        <v>5.2645791380443001E-3</v>
      </c>
      <c r="K5" s="26">
        <v>-1.2047816444308428</v>
      </c>
      <c r="L5" s="26">
        <v>-2.4009558406706002E-3</v>
      </c>
      <c r="M5" s="26">
        <v>45.849677108605682</v>
      </c>
      <c r="N5" s="34" t="s">
        <v>153</v>
      </c>
    </row>
    <row r="6" spans="1:14" ht="28.5">
      <c r="A6" s="22">
        <v>5</v>
      </c>
      <c r="B6" s="23">
        <v>39</v>
      </c>
      <c r="C6" s="23" t="s">
        <v>124</v>
      </c>
      <c r="D6" s="23" t="s">
        <v>125</v>
      </c>
      <c r="E6" s="23">
        <v>31</v>
      </c>
      <c r="F6" s="24">
        <v>0.79245189074427591</v>
      </c>
      <c r="G6" s="24">
        <v>0.94911335510830441</v>
      </c>
      <c r="H6" s="24">
        <v>1.0371471769723983</v>
      </c>
      <c r="I6" s="24">
        <v>1.0696855193203949</v>
      </c>
      <c r="J6" s="25">
        <v>4.7315142684978004E-3</v>
      </c>
      <c r="K6" s="26">
        <v>-1.3884551952841799</v>
      </c>
      <c r="L6" s="26">
        <v>-8.933580047507661E-4</v>
      </c>
      <c r="M6" s="26">
        <v>38.383857214214359</v>
      </c>
      <c r="N6" s="34" t="s">
        <v>154</v>
      </c>
    </row>
    <row r="7" spans="1:14" ht="28.5">
      <c r="A7" s="22">
        <v>6</v>
      </c>
      <c r="B7" s="23">
        <v>48</v>
      </c>
      <c r="C7" s="23" t="s">
        <v>137</v>
      </c>
      <c r="D7" s="23" t="s">
        <v>138</v>
      </c>
      <c r="E7" s="23">
        <v>45</v>
      </c>
      <c r="F7" s="24">
        <v>0.46648352677915561</v>
      </c>
      <c r="G7" s="24">
        <v>0.89943745784611329</v>
      </c>
      <c r="H7" s="24">
        <v>1.0148355026168769</v>
      </c>
      <c r="I7" s="24">
        <v>1.1835584292344761</v>
      </c>
      <c r="J7" s="25">
        <v>8.1035881999098995E-3</v>
      </c>
      <c r="K7" s="26">
        <v>-1.6059331279977884</v>
      </c>
      <c r="L7" s="26">
        <v>-1.0210292390875E-2</v>
      </c>
      <c r="M7" s="26">
        <v>19.886265520194094</v>
      </c>
      <c r="N7" s="34" t="s">
        <v>155</v>
      </c>
    </row>
    <row r="8" spans="1:14" ht="28.5">
      <c r="A8" s="28">
        <v>7</v>
      </c>
      <c r="B8" s="29">
        <v>50</v>
      </c>
      <c r="C8" s="29" t="s">
        <v>142</v>
      </c>
      <c r="D8" s="29" t="s">
        <v>143</v>
      </c>
      <c r="E8" s="29">
        <v>31</v>
      </c>
      <c r="F8" s="30">
        <v>0.5859925910408037</v>
      </c>
      <c r="G8" s="30">
        <v>0.87834516338583635</v>
      </c>
      <c r="H8" s="30">
        <v>0.99947266748014962</v>
      </c>
      <c r="I8" s="30">
        <v>1.0961954040933777</v>
      </c>
      <c r="J8" s="31">
        <v>6.6295612778650998E-3</v>
      </c>
      <c r="K8" s="32">
        <v>-2.3806561557073498</v>
      </c>
      <c r="L8" s="32">
        <v>-4.3796552676547001E-3</v>
      </c>
      <c r="M8" s="32">
        <v>16.906076066790355</v>
      </c>
      <c r="N8" s="35" t="s">
        <v>156</v>
      </c>
    </row>
  </sheetData>
  <conditionalFormatting sqref="M2:M8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54"/>
  <sheetViews>
    <sheetView workbookViewId="0">
      <selection activeCell="C10" sqref="C10"/>
    </sheetView>
  </sheetViews>
  <sheetFormatPr defaultRowHeight="14.25"/>
  <cols>
    <col min="1" max="1" width="7.125" customWidth="1"/>
    <col min="2" max="2" width="11.25" customWidth="1"/>
    <col min="3" max="3" width="47.375" customWidth="1"/>
    <col min="4" max="4" width="31.625" customWidth="1"/>
    <col min="5" max="5" width="26" customWidth="1"/>
    <col min="6" max="6" width="6.75" customWidth="1"/>
    <col min="7" max="7" width="15.25" customWidth="1"/>
    <col min="8" max="8" width="13" customWidth="1"/>
    <col min="9" max="9" width="13.375" customWidth="1"/>
    <col min="10" max="10" width="8.75" customWidth="1"/>
    <col min="11" max="11" width="62.625" customWidth="1"/>
    <col min="12" max="12" width="18.25" customWidth="1"/>
    <col min="13" max="13" width="9.125" customWidth="1"/>
    <col min="14" max="14" width="11.125" customWidth="1"/>
    <col min="15" max="16" width="4.5" customWidth="1"/>
    <col min="17" max="17" width="7.625" customWidth="1"/>
    <col min="18" max="19" width="18.5" customWidth="1"/>
    <col min="20" max="20" width="7.625" customWidth="1"/>
    <col min="21" max="23" width="12.125" customWidth="1"/>
    <col min="24" max="24" width="17.75" customWidth="1"/>
    <col min="25" max="25" width="13.75" customWidth="1"/>
    <col min="26" max="26" width="21" customWidth="1"/>
    <col min="27" max="27" width="18.625" customWidth="1"/>
    <col min="28" max="28" width="9.125" customWidth="1"/>
    <col min="29" max="29" width="15.125" customWidth="1"/>
    <col min="30" max="30" width="17.125" customWidth="1"/>
    <col min="31" max="31" width="15.25" customWidth="1"/>
    <col min="32" max="32" width="10.5" customWidth="1"/>
    <col min="33" max="33" width="13.875" customWidth="1"/>
  </cols>
  <sheetData>
    <row r="1" spans="1:33" ht="30">
      <c r="A1" s="19" t="s">
        <v>24</v>
      </c>
      <c r="B1" s="20" t="s">
        <v>59</v>
      </c>
      <c r="C1" s="20" t="s">
        <v>22</v>
      </c>
      <c r="D1" s="20" t="s">
        <v>23</v>
      </c>
      <c r="E1" s="20" t="s">
        <v>157</v>
      </c>
      <c r="F1" s="20" t="s">
        <v>60</v>
      </c>
      <c r="G1" s="20" t="s">
        <v>158</v>
      </c>
      <c r="H1" s="20" t="s">
        <v>159</v>
      </c>
      <c r="I1" s="20" t="s">
        <v>160</v>
      </c>
      <c r="J1" s="20" t="s">
        <v>161</v>
      </c>
      <c r="K1" s="20" t="s">
        <v>162</v>
      </c>
      <c r="L1" s="20" t="s">
        <v>163</v>
      </c>
      <c r="M1" s="20" t="s">
        <v>164</v>
      </c>
      <c r="N1" s="20" t="s">
        <v>165</v>
      </c>
      <c r="O1" s="20" t="s">
        <v>166</v>
      </c>
      <c r="P1" s="20" t="s">
        <v>167</v>
      </c>
      <c r="Q1" s="20" t="s">
        <v>168</v>
      </c>
      <c r="R1" s="20" t="s">
        <v>169</v>
      </c>
      <c r="S1" s="20" t="s">
        <v>170</v>
      </c>
      <c r="T1" s="20" t="s">
        <v>171</v>
      </c>
      <c r="U1" s="20" t="s">
        <v>172</v>
      </c>
      <c r="V1" s="20" t="s">
        <v>173</v>
      </c>
      <c r="W1" s="20" t="s">
        <v>174</v>
      </c>
      <c r="X1" s="20" t="s">
        <v>175</v>
      </c>
      <c r="Y1" s="20" t="s">
        <v>176</v>
      </c>
      <c r="Z1" s="20" t="s">
        <v>177</v>
      </c>
      <c r="AA1" s="20" t="s">
        <v>178</v>
      </c>
      <c r="AB1" s="20" t="s">
        <v>66</v>
      </c>
      <c r="AC1" s="20" t="s">
        <v>67</v>
      </c>
      <c r="AD1" s="20" t="s">
        <v>68</v>
      </c>
      <c r="AE1" s="20" t="s">
        <v>20</v>
      </c>
      <c r="AF1" s="20" t="s">
        <v>64</v>
      </c>
      <c r="AG1" s="21" t="s">
        <v>179</v>
      </c>
    </row>
    <row r="2" spans="1:33">
      <c r="A2" s="22" t="s">
        <v>33</v>
      </c>
      <c r="B2" s="23">
        <v>1</v>
      </c>
      <c r="C2" s="23" t="s">
        <v>31</v>
      </c>
      <c r="D2" s="23" t="s">
        <v>32</v>
      </c>
      <c r="E2" s="23" t="s">
        <v>180</v>
      </c>
      <c r="F2" s="23">
        <v>10</v>
      </c>
      <c r="G2" s="23" t="s">
        <v>181</v>
      </c>
      <c r="H2" s="23">
        <v>500</v>
      </c>
      <c r="I2" s="23" t="s">
        <v>182</v>
      </c>
      <c r="J2" s="23" t="s">
        <v>183</v>
      </c>
      <c r="K2" s="23">
        <v>15</v>
      </c>
      <c r="L2" s="23">
        <v>6.9999999999999993E-3</v>
      </c>
      <c r="M2" s="23" t="s">
        <v>184</v>
      </c>
      <c r="N2" s="23">
        <v>45196</v>
      </c>
      <c r="O2" s="24">
        <v>4.1732048666500002E-4</v>
      </c>
      <c r="P2" s="24">
        <v>1.8973442550931001E-3</v>
      </c>
      <c r="Q2" s="24">
        <v>8.7140412191188E-3</v>
      </c>
      <c r="R2" s="24">
        <v>6.6461608727990118E-3</v>
      </c>
      <c r="S2" s="24" t="s">
        <v>185</v>
      </c>
      <c r="T2" s="24">
        <v>1.0556067821964483</v>
      </c>
      <c r="U2" s="24">
        <v>1.0589277628082021</v>
      </c>
      <c r="V2" s="24">
        <v>1.0579844316781313</v>
      </c>
      <c r="W2" s="24" t="s">
        <v>185</v>
      </c>
      <c r="X2" s="25">
        <v>1.3838477849082E-3</v>
      </c>
      <c r="Y2" s="26">
        <v>5.4687896948055386</v>
      </c>
      <c r="Z2" s="26" t="s">
        <v>185</v>
      </c>
      <c r="AA2" s="26">
        <v>93.877551020408163</v>
      </c>
      <c r="AB2" s="26">
        <v>85.798816568047343</v>
      </c>
      <c r="AC2" s="26">
        <v>100</v>
      </c>
      <c r="AD2" s="26">
        <v>58.84615384615384</v>
      </c>
      <c r="AE2" s="26">
        <v>89.579217485810887</v>
      </c>
      <c r="AF2" s="23">
        <v>3</v>
      </c>
      <c r="AG2" s="36">
        <v>3</v>
      </c>
    </row>
    <row r="3" spans="1:33">
      <c r="A3" s="22" t="s">
        <v>33</v>
      </c>
      <c r="B3" s="23">
        <v>13</v>
      </c>
      <c r="C3" s="23" t="s">
        <v>54</v>
      </c>
      <c r="D3" s="23" t="s">
        <v>53</v>
      </c>
      <c r="E3" s="23" t="s">
        <v>186</v>
      </c>
      <c r="F3" s="23">
        <v>13</v>
      </c>
      <c r="G3" s="23" t="s">
        <v>181</v>
      </c>
      <c r="H3" s="23">
        <v>1000</v>
      </c>
      <c r="I3" s="23" t="s">
        <v>187</v>
      </c>
      <c r="J3" s="23" t="s">
        <v>183</v>
      </c>
      <c r="K3" s="23">
        <v>121</v>
      </c>
      <c r="L3" s="23">
        <v>9.0000000000000011E-3</v>
      </c>
      <c r="M3" s="23" t="s">
        <v>184</v>
      </c>
      <c r="N3" s="23">
        <v>43826</v>
      </c>
      <c r="O3" s="24">
        <v>-4.24888919132E-4</v>
      </c>
      <c r="P3" s="24">
        <v>2.4021292231370001E-4</v>
      </c>
      <c r="Q3" s="24">
        <v>6.5203674817013004E-3</v>
      </c>
      <c r="R3" s="24">
        <v>9.3270266140086378E-3</v>
      </c>
      <c r="S3" s="24">
        <v>1.3669803898467059E-2</v>
      </c>
      <c r="T3" s="24">
        <v>1.0070400864872149</v>
      </c>
      <c r="U3" s="24">
        <v>1.0440932810302754</v>
      </c>
      <c r="V3" s="24">
        <v>1.081469855235683</v>
      </c>
      <c r="W3" s="24">
        <v>1.12127723364678</v>
      </c>
      <c r="X3" s="25">
        <v>4.4325919415451002E-3</v>
      </c>
      <c r="Y3" s="26">
        <v>1.2807941121882651</v>
      </c>
      <c r="Z3" s="26">
        <v>-2.0944008899031999E-3</v>
      </c>
      <c r="AA3" s="26">
        <v>92.646520146520146</v>
      </c>
      <c r="AB3" s="26">
        <v>34.947552447552447</v>
      </c>
      <c r="AC3" s="26">
        <v>84.615384615384613</v>
      </c>
      <c r="AD3" s="26">
        <v>1.5384615384615374</v>
      </c>
      <c r="AE3" s="26">
        <v>67.504745254745259</v>
      </c>
      <c r="AF3" s="23">
        <v>4</v>
      </c>
      <c r="AG3" s="36">
        <v>4</v>
      </c>
    </row>
    <row r="4" spans="1:33">
      <c r="A4" s="22" t="s">
        <v>33</v>
      </c>
      <c r="B4" s="23">
        <v>10</v>
      </c>
      <c r="C4" s="23" t="s">
        <v>49</v>
      </c>
      <c r="D4" s="23" t="s">
        <v>50</v>
      </c>
      <c r="E4" s="23" t="s">
        <v>180</v>
      </c>
      <c r="F4" s="23">
        <v>11</v>
      </c>
      <c r="G4" s="23" t="s">
        <v>181</v>
      </c>
      <c r="H4" s="23">
        <v>1000</v>
      </c>
      <c r="I4" s="23" t="s">
        <v>188</v>
      </c>
      <c r="J4" s="23" t="s">
        <v>183</v>
      </c>
      <c r="K4" s="23">
        <v>30</v>
      </c>
      <c r="L4" s="23">
        <v>8.5000000000000006E-3</v>
      </c>
      <c r="M4" s="23" t="s">
        <v>184</v>
      </c>
      <c r="N4" s="23">
        <v>43444</v>
      </c>
      <c r="O4" s="24">
        <v>-3.393211326132E-4</v>
      </c>
      <c r="P4" s="24">
        <v>8.3025848667789997E-4</v>
      </c>
      <c r="Q4" s="24">
        <v>5.8221447733246001E-3</v>
      </c>
      <c r="R4" s="24">
        <v>4.1103089385996494E-3</v>
      </c>
      <c r="S4" s="24">
        <v>7.6182757353084884E-3</v>
      </c>
      <c r="T4" s="24">
        <v>1.0243329605112632</v>
      </c>
      <c r="U4" s="24">
        <v>1.0393716253584786</v>
      </c>
      <c r="V4" s="24">
        <v>1.0358202799491372</v>
      </c>
      <c r="W4" s="24">
        <v>1.0672420814625192</v>
      </c>
      <c r="X4" s="25">
        <v>1.2778346882072E-3</v>
      </c>
      <c r="Y4" s="26">
        <v>3.962096924683991</v>
      </c>
      <c r="Z4" s="26" t="s">
        <v>185</v>
      </c>
      <c r="AA4" s="26">
        <v>68.297357404500261</v>
      </c>
      <c r="AB4" s="26">
        <v>78.254437869822482</v>
      </c>
      <c r="AC4" s="26">
        <v>96.15384615384616</v>
      </c>
      <c r="AD4" s="26">
        <v>42.692307692307693</v>
      </c>
      <c r="AE4" s="26">
        <v>73.797420299480734</v>
      </c>
      <c r="AF4" s="23">
        <v>4</v>
      </c>
      <c r="AG4" s="36">
        <v>4</v>
      </c>
    </row>
    <row r="5" spans="1:33">
      <c r="A5" s="22" t="s">
        <v>33</v>
      </c>
      <c r="B5" s="23">
        <v>2</v>
      </c>
      <c r="C5" s="23" t="s">
        <v>34</v>
      </c>
      <c r="D5" s="23" t="s">
        <v>35</v>
      </c>
      <c r="E5" s="23" t="s">
        <v>189</v>
      </c>
      <c r="F5" s="23">
        <v>4</v>
      </c>
      <c r="G5" s="23" t="s">
        <v>181</v>
      </c>
      <c r="H5" s="23">
        <v>500</v>
      </c>
      <c r="I5" s="23" t="s">
        <v>190</v>
      </c>
      <c r="J5" s="23" t="s">
        <v>183</v>
      </c>
      <c r="K5" s="23">
        <v>10</v>
      </c>
      <c r="L5" s="23">
        <v>4.0000000000000001E-3</v>
      </c>
      <c r="M5" s="23" t="s">
        <v>184</v>
      </c>
      <c r="N5" s="23">
        <v>42003</v>
      </c>
      <c r="O5" s="24">
        <v>-5.1186894574789998E-4</v>
      </c>
      <c r="P5" s="24">
        <v>4.9830661021199998E-5</v>
      </c>
      <c r="Q5" s="24">
        <v>5.0414118156352E-3</v>
      </c>
      <c r="R5" s="24">
        <v>6.2298394856625805E-3</v>
      </c>
      <c r="S5" s="24">
        <v>9.7467285389361003E-3</v>
      </c>
      <c r="T5" s="24">
        <v>1.001460421695576</v>
      </c>
      <c r="U5" s="24">
        <v>1.0340920030351035</v>
      </c>
      <c r="V5" s="24">
        <v>1.0543422553212378</v>
      </c>
      <c r="W5" s="24">
        <v>1.0861844752561356</v>
      </c>
      <c r="X5" s="25">
        <v>8.0229319216119997E-4</v>
      </c>
      <c r="Y5" s="26">
        <v>5.4656809814231924</v>
      </c>
      <c r="Z5" s="26" t="s">
        <v>185</v>
      </c>
      <c r="AA5" s="26">
        <v>79.175170068027214</v>
      </c>
      <c r="AB5" s="26">
        <v>96.153846153846146</v>
      </c>
      <c r="AC5" s="26">
        <v>98.076923076923066</v>
      </c>
      <c r="AD5" s="26">
        <v>93.65384615384616</v>
      </c>
      <c r="AE5" s="26">
        <v>88.648057299843003</v>
      </c>
      <c r="AF5" s="23">
        <v>4</v>
      </c>
      <c r="AG5" s="36">
        <v>4</v>
      </c>
    </row>
    <row r="6" spans="1:33">
      <c r="A6" s="22" t="s">
        <v>33</v>
      </c>
      <c r="B6" s="23">
        <v>4</v>
      </c>
      <c r="C6" s="23" t="s">
        <v>38</v>
      </c>
      <c r="D6" s="23" t="s">
        <v>39</v>
      </c>
      <c r="E6" s="23" t="s">
        <v>39</v>
      </c>
      <c r="F6" s="23">
        <v>11</v>
      </c>
      <c r="G6" s="23" t="s">
        <v>181</v>
      </c>
      <c r="H6" s="23">
        <v>1000</v>
      </c>
      <c r="I6" s="23" t="s">
        <v>188</v>
      </c>
      <c r="J6" s="23" t="s">
        <v>183</v>
      </c>
      <c r="K6" s="23">
        <v>30</v>
      </c>
      <c r="L6" s="23">
        <v>6.0000000000000001E-3</v>
      </c>
      <c r="M6" s="23" t="s">
        <v>184</v>
      </c>
      <c r="N6" s="23">
        <v>40994</v>
      </c>
      <c r="O6" s="24">
        <v>-1.7816575547967999E-3</v>
      </c>
      <c r="P6" s="24">
        <v>-4.7581464324300001E-4</v>
      </c>
      <c r="Q6" s="24">
        <v>5.0102710012955003E-3</v>
      </c>
      <c r="R6" s="24">
        <v>8.2977013510714404E-3</v>
      </c>
      <c r="S6" s="24">
        <v>1.5844148986834838E-2</v>
      </c>
      <c r="T6" s="24">
        <v>0.98605497069829318</v>
      </c>
      <c r="U6" s="24">
        <v>1.0338814166406951</v>
      </c>
      <c r="V6" s="24">
        <v>1.0724460273019558</v>
      </c>
      <c r="W6" s="24">
        <v>1.140827364558384</v>
      </c>
      <c r="X6" s="25">
        <v>2.8243911594665002E-3</v>
      </c>
      <c r="Y6" s="26">
        <v>1.5442973979649419</v>
      </c>
      <c r="Z6" s="26">
        <v>-1.0925468666489468E-4</v>
      </c>
      <c r="AA6" s="26">
        <v>89.489795918367349</v>
      </c>
      <c r="AB6" s="26">
        <v>65.305944055944053</v>
      </c>
      <c r="AC6" s="26">
        <v>88.461538461538453</v>
      </c>
      <c r="AD6" s="26">
        <v>58.461538461538467</v>
      </c>
      <c r="AE6" s="26">
        <v>80.135355715712848</v>
      </c>
      <c r="AF6" s="23">
        <v>3</v>
      </c>
      <c r="AG6" s="36">
        <v>4</v>
      </c>
    </row>
    <row r="7" spans="1:33">
      <c r="A7" s="22" t="s">
        <v>33</v>
      </c>
      <c r="B7" s="23">
        <v>8</v>
      </c>
      <c r="C7" s="23" t="s">
        <v>45</v>
      </c>
      <c r="D7" s="23" t="s">
        <v>46</v>
      </c>
      <c r="E7" s="23" t="s">
        <v>191</v>
      </c>
      <c r="F7" s="23">
        <v>11</v>
      </c>
      <c r="G7" s="23" t="s">
        <v>181</v>
      </c>
      <c r="H7" s="23">
        <v>1000</v>
      </c>
      <c r="I7" s="23" t="s">
        <v>192</v>
      </c>
      <c r="J7" s="23" t="s">
        <v>183</v>
      </c>
      <c r="K7" s="23">
        <v>31</v>
      </c>
      <c r="L7" s="23">
        <v>6.4000000000000003E-3</v>
      </c>
      <c r="M7" s="23" t="s">
        <v>184</v>
      </c>
      <c r="N7" s="23">
        <v>45070</v>
      </c>
      <c r="O7" s="24">
        <v>-3.712041634071E-4</v>
      </c>
      <c r="P7" s="24">
        <v>3.1291666747310001E-4</v>
      </c>
      <c r="Q7" s="24">
        <v>4.6098831474854001E-3</v>
      </c>
      <c r="R7" s="24">
        <v>4.1816563012186947E-3</v>
      </c>
      <c r="S7" s="24" t="s">
        <v>185</v>
      </c>
      <c r="T7" s="24">
        <v>1.0091708655016651</v>
      </c>
      <c r="U7" s="24">
        <v>1.0311738370129051</v>
      </c>
      <c r="V7" s="24">
        <v>1.036443201986436</v>
      </c>
      <c r="W7" s="24" t="s">
        <v>185</v>
      </c>
      <c r="X7" s="25">
        <v>1.7909506245896E-3</v>
      </c>
      <c r="Y7" s="26">
        <v>2.2400288043511205</v>
      </c>
      <c r="Z7" s="26" t="s">
        <v>185</v>
      </c>
      <c r="AA7" s="26">
        <v>75.983614599686035</v>
      </c>
      <c r="AB7" s="26">
        <v>71.597633136094672</v>
      </c>
      <c r="AC7" s="26">
        <v>92.307692307692307</v>
      </c>
      <c r="AD7" s="26">
        <v>34.807692307692307</v>
      </c>
      <c r="AE7" s="26">
        <v>74.034342546190075</v>
      </c>
      <c r="AF7" s="23">
        <v>3</v>
      </c>
      <c r="AG7" s="36">
        <v>3</v>
      </c>
    </row>
    <row r="8" spans="1:33">
      <c r="A8" s="22" t="s">
        <v>33</v>
      </c>
      <c r="B8" s="23">
        <v>23</v>
      </c>
      <c r="C8" s="23" t="s">
        <v>91</v>
      </c>
      <c r="D8" s="23" t="s">
        <v>92</v>
      </c>
      <c r="E8" s="23" t="s">
        <v>186</v>
      </c>
      <c r="F8" s="23">
        <v>12</v>
      </c>
      <c r="G8" s="23" t="s">
        <v>181</v>
      </c>
      <c r="H8" s="23">
        <v>1000</v>
      </c>
      <c r="I8" s="23" t="s">
        <v>192</v>
      </c>
      <c r="J8" s="23" t="s">
        <v>183</v>
      </c>
      <c r="K8" s="23">
        <v>31</v>
      </c>
      <c r="L8" s="23">
        <v>7.6E-3</v>
      </c>
      <c r="M8" s="23" t="s">
        <v>184</v>
      </c>
      <c r="N8" s="23">
        <v>44043</v>
      </c>
      <c r="O8" s="24">
        <v>-2.2820249657418E-3</v>
      </c>
      <c r="P8" s="24">
        <v>-1.7747252686726E-3</v>
      </c>
      <c r="Q8" s="24">
        <v>4.4503459092314996E-3</v>
      </c>
      <c r="R8" s="24">
        <v>4.7894636893837106E-3</v>
      </c>
      <c r="S8" s="24">
        <v>8.4771684852353868E-3</v>
      </c>
      <c r="T8" s="24">
        <v>0.94798689736525077</v>
      </c>
      <c r="U8" s="24">
        <v>1.030094983665933</v>
      </c>
      <c r="V8" s="24">
        <v>1.0417514563343304</v>
      </c>
      <c r="W8" s="24">
        <v>1.0748776827076012</v>
      </c>
      <c r="X8" s="25">
        <v>5.6043316707622996E-3</v>
      </c>
      <c r="Y8" s="26">
        <v>0.69362536470130531</v>
      </c>
      <c r="Z8" s="26">
        <v>-3.2790376587353001E-3</v>
      </c>
      <c r="AA8" s="26">
        <v>66.63854003139717</v>
      </c>
      <c r="AB8" s="26">
        <v>25.769230769230766</v>
      </c>
      <c r="AC8" s="26">
        <v>76.923076923076934</v>
      </c>
      <c r="AD8" s="26">
        <v>26.34615384615384</v>
      </c>
      <c r="AE8" s="26">
        <v>54.448881475667186</v>
      </c>
      <c r="AF8" s="23">
        <v>3</v>
      </c>
      <c r="AG8" s="36">
        <v>4</v>
      </c>
    </row>
    <row r="9" spans="1:33">
      <c r="A9" s="22" t="s">
        <v>33</v>
      </c>
      <c r="B9" s="23">
        <v>5</v>
      </c>
      <c r="C9" s="23" t="s">
        <v>40</v>
      </c>
      <c r="D9" s="23" t="s">
        <v>35</v>
      </c>
      <c r="E9" s="23" t="s">
        <v>189</v>
      </c>
      <c r="F9" s="23">
        <v>11</v>
      </c>
      <c r="G9" s="23" t="s">
        <v>181</v>
      </c>
      <c r="H9" s="23">
        <v>500</v>
      </c>
      <c r="I9" s="23" t="s">
        <v>188</v>
      </c>
      <c r="J9" s="23" t="s">
        <v>183</v>
      </c>
      <c r="K9" s="23">
        <v>30</v>
      </c>
      <c r="L9" s="23">
        <v>6.5000000000000006E-3</v>
      </c>
      <c r="M9" s="23" t="s">
        <v>184</v>
      </c>
      <c r="N9" s="23">
        <v>45022</v>
      </c>
      <c r="O9" s="24">
        <v>-7.7250080567379999E-4</v>
      </c>
      <c r="P9" s="24">
        <v>-3.055011630672E-4</v>
      </c>
      <c r="Q9" s="24">
        <v>3.8456713168527998E-3</v>
      </c>
      <c r="R9" s="24">
        <v>4.7822985860179745E-3</v>
      </c>
      <c r="S9" s="24" t="s">
        <v>185</v>
      </c>
      <c r="T9" s="24">
        <v>0.99104646582198164</v>
      </c>
      <c r="U9" s="24">
        <v>1.0260059370273129</v>
      </c>
      <c r="V9" s="24">
        <v>1.04168886371488</v>
      </c>
      <c r="W9" s="24" t="s">
        <v>185</v>
      </c>
      <c r="X9" s="25">
        <v>9.0431071454879998E-4</v>
      </c>
      <c r="Y9" s="26">
        <v>3.7010514699302086</v>
      </c>
      <c r="Z9" s="26" t="s">
        <v>185</v>
      </c>
      <c r="AA9" s="26">
        <v>77.811028257456826</v>
      </c>
      <c r="AB9" s="26">
        <v>80.917159763313606</v>
      </c>
      <c r="AC9" s="26">
        <v>94.230769230769226</v>
      </c>
      <c r="AD9" s="26">
        <v>51.538461538461547</v>
      </c>
      <c r="AE9" s="26">
        <v>79.244252656683983</v>
      </c>
      <c r="AF9" s="23">
        <v>2</v>
      </c>
      <c r="AG9" s="36">
        <v>3</v>
      </c>
    </row>
    <row r="10" spans="1:33">
      <c r="A10" s="22" t="s">
        <v>33</v>
      </c>
      <c r="B10" s="23">
        <v>3</v>
      </c>
      <c r="C10" s="23" t="s">
        <v>36</v>
      </c>
      <c r="D10" s="23" t="s">
        <v>37</v>
      </c>
      <c r="E10" s="23" t="s">
        <v>193</v>
      </c>
      <c r="F10" s="23">
        <v>3</v>
      </c>
      <c r="G10" s="23" t="s">
        <v>181</v>
      </c>
      <c r="H10" s="23">
        <v>500</v>
      </c>
      <c r="I10" s="23" t="s">
        <v>188</v>
      </c>
      <c r="J10" s="23" t="s">
        <v>183</v>
      </c>
      <c r="K10" s="23">
        <v>30</v>
      </c>
      <c r="L10" s="23">
        <v>4.0000000000000001E-3</v>
      </c>
      <c r="M10" s="23" t="s">
        <v>184</v>
      </c>
      <c r="N10" s="23">
        <v>43283</v>
      </c>
      <c r="O10" s="24">
        <v>-1.6463778771539999E-3</v>
      </c>
      <c r="P10" s="24">
        <v>-4.9840457434340002E-4</v>
      </c>
      <c r="Q10" s="24">
        <v>3.5099268155686998E-3</v>
      </c>
      <c r="R10" s="24">
        <v>5.9961602434543959E-3</v>
      </c>
      <c r="S10" s="24">
        <v>1.1400560172447172E-2</v>
      </c>
      <c r="T10" s="24">
        <v>0.98539291194160739</v>
      </c>
      <c r="U10" s="24">
        <v>1.0237355010908356</v>
      </c>
      <c r="V10" s="24">
        <v>1.0522985031983334</v>
      </c>
      <c r="W10" s="24">
        <v>1.1009500431873791</v>
      </c>
      <c r="X10" s="25">
        <v>1.8143026434279E-3</v>
      </c>
      <c r="Y10" s="26">
        <v>1.6846202863110895</v>
      </c>
      <c r="Z10" s="26">
        <v>-6.6220064138700074E-5</v>
      </c>
      <c r="AA10" s="26">
        <v>75.624672946101512</v>
      </c>
      <c r="AB10" s="26">
        <v>89.204545454545453</v>
      </c>
      <c r="AC10" s="26">
        <v>90.384615384615387</v>
      </c>
      <c r="AD10" s="26">
        <v>76.923076923076934</v>
      </c>
      <c r="AE10" s="26">
        <v>82.10146995861281</v>
      </c>
      <c r="AF10" s="23">
        <v>3</v>
      </c>
      <c r="AG10" s="36">
        <v>4</v>
      </c>
    </row>
    <row r="11" spans="1:33">
      <c r="A11" s="22" t="s">
        <v>33</v>
      </c>
      <c r="B11" s="23">
        <v>18</v>
      </c>
      <c r="C11" s="23" t="s">
        <v>81</v>
      </c>
      <c r="D11" s="23" t="s">
        <v>82</v>
      </c>
      <c r="E11" s="23" t="s">
        <v>180</v>
      </c>
      <c r="F11" s="23">
        <v>11</v>
      </c>
      <c r="G11" s="23" t="s">
        <v>181</v>
      </c>
      <c r="H11" s="23">
        <v>1000</v>
      </c>
      <c r="I11" s="23" t="s">
        <v>192</v>
      </c>
      <c r="J11" s="23" t="s">
        <v>183</v>
      </c>
      <c r="K11" s="23">
        <v>31</v>
      </c>
      <c r="L11" s="23">
        <v>5.0000000000000001E-3</v>
      </c>
      <c r="M11" s="23" t="s">
        <v>185</v>
      </c>
      <c r="N11" s="23">
        <v>40302</v>
      </c>
      <c r="O11" s="24">
        <v>-3.3340664427919999E-4</v>
      </c>
      <c r="P11" s="24">
        <v>5.6549231217199996E-4</v>
      </c>
      <c r="Q11" s="24">
        <v>3.4267210871272002E-3</v>
      </c>
      <c r="R11" s="24">
        <v>2.3309302017520128E-3</v>
      </c>
      <c r="S11" s="24">
        <v>1.0422727900153417E-2</v>
      </c>
      <c r="T11" s="24">
        <v>1.0165732748563201</v>
      </c>
      <c r="U11" s="24">
        <v>1.0231728313367467</v>
      </c>
      <c r="V11" s="24">
        <v>1.0202974910958478</v>
      </c>
      <c r="W11" s="24">
        <v>1.0922148799220599</v>
      </c>
      <c r="X11" s="25">
        <v>3.1585151634906999E-3</v>
      </c>
      <c r="Y11" s="26">
        <v>0.94583377591637885</v>
      </c>
      <c r="Z11" s="26">
        <v>-8.318130509911148E-4</v>
      </c>
      <c r="AA11" s="26">
        <v>61.784406070120355</v>
      </c>
      <c r="AB11" s="26">
        <v>50.70804195804196</v>
      </c>
      <c r="AC11" s="26">
        <v>80.769230769230774</v>
      </c>
      <c r="AD11" s="26">
        <v>52.884615384615387</v>
      </c>
      <c r="AE11" s="26">
        <v>61.922300913372339</v>
      </c>
      <c r="AF11" s="23">
        <v>4</v>
      </c>
      <c r="AG11" s="36">
        <v>4</v>
      </c>
    </row>
    <row r="12" spans="1:33">
      <c r="A12" s="22" t="s">
        <v>33</v>
      </c>
      <c r="B12" s="23">
        <v>7</v>
      </c>
      <c r="C12" s="23" t="s">
        <v>43</v>
      </c>
      <c r="D12" s="23" t="s">
        <v>44</v>
      </c>
      <c r="E12" s="23" t="s">
        <v>194</v>
      </c>
      <c r="F12" s="23">
        <v>11</v>
      </c>
      <c r="G12" s="23" t="s">
        <v>181</v>
      </c>
      <c r="H12" s="23">
        <v>1000</v>
      </c>
      <c r="I12" s="23" t="s">
        <v>192</v>
      </c>
      <c r="J12" s="23" t="s">
        <v>183</v>
      </c>
      <c r="K12" s="23">
        <v>31</v>
      </c>
      <c r="L12" s="23">
        <v>6.0000000000000001E-3</v>
      </c>
      <c r="M12" s="23" t="s">
        <v>184</v>
      </c>
      <c r="N12" s="23">
        <v>45471</v>
      </c>
      <c r="O12" s="24">
        <v>-2.5934239206224E-3</v>
      </c>
      <c r="P12" s="24">
        <v>-1.6196051948087001E-3</v>
      </c>
      <c r="Q12" s="24">
        <v>3.3317296904378001E-3</v>
      </c>
      <c r="R12" s="24" t="s">
        <v>185</v>
      </c>
      <c r="S12" s="24" t="s">
        <v>185</v>
      </c>
      <c r="T12" s="24">
        <v>0.95253310880710718</v>
      </c>
      <c r="U12" s="24">
        <v>1.022530462273739</v>
      </c>
      <c r="V12" s="24" t="s">
        <v>185</v>
      </c>
      <c r="W12" s="24" t="s">
        <v>185</v>
      </c>
      <c r="X12" s="25">
        <v>1.9740414972315001E-3</v>
      </c>
      <c r="Y12" s="26">
        <v>1.4700026879256951</v>
      </c>
      <c r="Z12" s="26">
        <v>-4.1677604049494832E-5</v>
      </c>
      <c r="AA12" s="26">
        <v>76.730769230769226</v>
      </c>
      <c r="AB12" s="26">
        <v>77.211538461538467</v>
      </c>
      <c r="AC12" s="26">
        <v>86.538461538461547</v>
      </c>
      <c r="AD12" s="26">
        <v>40.57692307692308</v>
      </c>
      <c r="AE12" s="26">
        <v>75.197115384615387</v>
      </c>
      <c r="AF12" s="23">
        <v>1</v>
      </c>
      <c r="AG12" s="36">
        <v>2</v>
      </c>
    </row>
    <row r="13" spans="1:33">
      <c r="A13" s="22" t="s">
        <v>33</v>
      </c>
      <c r="B13" s="23">
        <v>6</v>
      </c>
      <c r="C13" s="23" t="s">
        <v>41</v>
      </c>
      <c r="D13" s="23" t="s">
        <v>42</v>
      </c>
      <c r="E13" s="23" t="s">
        <v>186</v>
      </c>
      <c r="F13" s="23">
        <v>11</v>
      </c>
      <c r="G13" s="23" t="s">
        <v>181</v>
      </c>
      <c r="H13" s="23">
        <v>3000</v>
      </c>
      <c r="I13" s="23" t="s">
        <v>195</v>
      </c>
      <c r="J13" s="23" t="s">
        <v>183</v>
      </c>
      <c r="K13" s="23">
        <v>16</v>
      </c>
      <c r="L13" s="23">
        <v>5.0000000000000001E-3</v>
      </c>
      <c r="M13" s="23" t="s">
        <v>184</v>
      </c>
      <c r="N13" s="23">
        <v>36983</v>
      </c>
      <c r="O13" s="24">
        <v>-3.0365265317040002E-3</v>
      </c>
      <c r="P13" s="24">
        <v>-2.6673720021317001E-3</v>
      </c>
      <c r="Q13" s="24">
        <v>2.7416809456792001E-3</v>
      </c>
      <c r="R13" s="24">
        <v>8.9842206256356416E-3</v>
      </c>
      <c r="S13" s="24">
        <v>1.6836642681420821E-2</v>
      </c>
      <c r="T13" s="24">
        <v>0.92182548129508357</v>
      </c>
      <c r="U13" s="24">
        <v>1.018540321350361</v>
      </c>
      <c r="V13" s="24">
        <v>1.0784636586828538</v>
      </c>
      <c r="W13" s="24">
        <v>1.149774932876992</v>
      </c>
      <c r="X13" s="25">
        <v>2.8298312637800999E-3</v>
      </c>
      <c r="Y13" s="26">
        <v>0.84490065007096526</v>
      </c>
      <c r="Z13" s="26">
        <v>-1.3747754322268602E-4</v>
      </c>
      <c r="AA13" s="26">
        <v>82.579147043432755</v>
      </c>
      <c r="AB13" s="26">
        <v>62.849650349650346</v>
      </c>
      <c r="AC13" s="26">
        <v>78.84615384615384</v>
      </c>
      <c r="AD13" s="26">
        <v>77.692307692307693</v>
      </c>
      <c r="AE13" s="26">
        <v>76.411490295418872</v>
      </c>
      <c r="AF13" s="23">
        <v>3</v>
      </c>
      <c r="AG13" s="36">
        <v>4</v>
      </c>
    </row>
    <row r="14" spans="1:33">
      <c r="A14" s="22" t="s">
        <v>33</v>
      </c>
      <c r="B14" s="23">
        <v>14</v>
      </c>
      <c r="C14" s="23" t="s">
        <v>55</v>
      </c>
      <c r="D14" s="23" t="s">
        <v>56</v>
      </c>
      <c r="E14" s="23" t="s">
        <v>191</v>
      </c>
      <c r="F14" s="23">
        <v>13</v>
      </c>
      <c r="G14" s="23" t="s">
        <v>181</v>
      </c>
      <c r="H14" s="23">
        <v>5000</v>
      </c>
      <c r="I14" s="23" t="s">
        <v>196</v>
      </c>
      <c r="J14" s="23" t="s">
        <v>183</v>
      </c>
      <c r="K14" s="23">
        <v>60</v>
      </c>
      <c r="L14" s="23">
        <v>1.04E-2</v>
      </c>
      <c r="M14" s="23" t="s">
        <v>184</v>
      </c>
      <c r="N14" s="23">
        <v>44560</v>
      </c>
      <c r="O14" s="24">
        <v>-3.2984089532535001E-3</v>
      </c>
      <c r="P14" s="24">
        <v>-3.8052130066489999E-3</v>
      </c>
      <c r="Q14" s="24">
        <v>2.3657190045109E-3</v>
      </c>
      <c r="R14" s="24">
        <v>8.0938771417657929E-3</v>
      </c>
      <c r="S14" s="24">
        <v>1.3169007550834166E-2</v>
      </c>
      <c r="T14" s="24">
        <v>0.88847798689993729</v>
      </c>
      <c r="U14" s="24">
        <v>1.0159979193193185</v>
      </c>
      <c r="V14" s="24">
        <v>1.0706601200959234</v>
      </c>
      <c r="W14" s="24">
        <v>1.1167845655287101</v>
      </c>
      <c r="X14" s="25">
        <v>1.9103322200379001E-3</v>
      </c>
      <c r="Y14" s="26">
        <v>1.0792760623905302</v>
      </c>
      <c r="Z14" s="26">
        <v>-5.2497305465082356E-4</v>
      </c>
      <c r="AA14" s="26">
        <v>74.817503924646772</v>
      </c>
      <c r="AB14" s="26">
        <v>59.41433566433566</v>
      </c>
      <c r="AC14" s="26">
        <v>82.692307692307693</v>
      </c>
      <c r="AD14" s="26">
        <v>3.0769230769230771</v>
      </c>
      <c r="AE14" s="26">
        <v>65.367614528328815</v>
      </c>
      <c r="AF14" s="23">
        <v>3</v>
      </c>
      <c r="AG14" s="36">
        <v>4</v>
      </c>
    </row>
    <row r="15" spans="1:33">
      <c r="A15" s="22" t="s">
        <v>33</v>
      </c>
      <c r="B15" s="23">
        <v>12</v>
      </c>
      <c r="C15" s="23" t="s">
        <v>52</v>
      </c>
      <c r="D15" s="23" t="s">
        <v>53</v>
      </c>
      <c r="E15" s="23" t="s">
        <v>186</v>
      </c>
      <c r="F15" s="23">
        <v>13</v>
      </c>
      <c r="G15" s="23" t="s">
        <v>181</v>
      </c>
      <c r="H15" s="23">
        <v>100</v>
      </c>
      <c r="I15" s="23" t="s">
        <v>192</v>
      </c>
      <c r="J15" s="23" t="s">
        <v>183</v>
      </c>
      <c r="K15" s="23">
        <v>31</v>
      </c>
      <c r="L15" s="23">
        <v>6.0000000000000001E-3</v>
      </c>
      <c r="M15" s="23" t="s">
        <v>184</v>
      </c>
      <c r="N15" s="23">
        <v>45026</v>
      </c>
      <c r="O15" s="24">
        <v>-1.0185864841909E-3</v>
      </c>
      <c r="P15" s="24">
        <v>-7.8874566714150001E-4</v>
      </c>
      <c r="Q15" s="24">
        <v>2.0110076269499E-3</v>
      </c>
      <c r="R15" s="24">
        <v>6.1434185968758381E-3</v>
      </c>
      <c r="S15" s="24" t="s">
        <v>185</v>
      </c>
      <c r="T15" s="24">
        <v>0.97688368444292561</v>
      </c>
      <c r="U15" s="24">
        <v>1.0135992219300489</v>
      </c>
      <c r="V15" s="24">
        <v>1.0535863716793856</v>
      </c>
      <c r="W15" s="24" t="s">
        <v>185</v>
      </c>
      <c r="X15" s="25">
        <v>2.5784676324383002E-3</v>
      </c>
      <c r="Y15" s="26">
        <v>0.68050875787755394</v>
      </c>
      <c r="Z15" s="26">
        <v>-3.4064309008841054E-4</v>
      </c>
      <c r="AA15" s="26">
        <v>76.31720957613814</v>
      </c>
      <c r="AB15" s="26">
        <v>56.468531468531467</v>
      </c>
      <c r="AC15" s="26">
        <v>75</v>
      </c>
      <c r="AD15" s="26">
        <v>40.57692307692308</v>
      </c>
      <c r="AE15" s="26">
        <v>67.517569484087346</v>
      </c>
      <c r="AF15" s="23">
        <v>2</v>
      </c>
      <c r="AG15" s="36">
        <v>3</v>
      </c>
    </row>
    <row r="16" spans="1:33">
      <c r="A16" s="22" t="s">
        <v>33</v>
      </c>
      <c r="B16" s="23">
        <v>16</v>
      </c>
      <c r="C16" s="23" t="s">
        <v>77</v>
      </c>
      <c r="D16" s="23" t="s">
        <v>78</v>
      </c>
      <c r="E16" s="23" t="s">
        <v>191</v>
      </c>
      <c r="F16" s="23">
        <v>12</v>
      </c>
      <c r="G16" s="23" t="s">
        <v>181</v>
      </c>
      <c r="H16" s="23">
        <v>500</v>
      </c>
      <c r="I16" s="23" t="s">
        <v>192</v>
      </c>
      <c r="J16" s="23" t="s">
        <v>183</v>
      </c>
      <c r="K16" s="23">
        <v>31</v>
      </c>
      <c r="L16" s="23">
        <v>6.0000000000000001E-3</v>
      </c>
      <c r="M16" s="23" t="s">
        <v>184</v>
      </c>
      <c r="N16" s="23">
        <v>44923</v>
      </c>
      <c r="O16" s="24">
        <v>-3.0706636969977E-3</v>
      </c>
      <c r="P16" s="24">
        <v>-2.7632808342528E-3</v>
      </c>
      <c r="Q16" s="24">
        <v>1.1259582247392999E-3</v>
      </c>
      <c r="R16" s="24">
        <v>4.655368514713043E-3</v>
      </c>
      <c r="S16" s="24">
        <v>1.2745498542285016E-2</v>
      </c>
      <c r="T16" s="24">
        <v>0.91901461472505763</v>
      </c>
      <c r="U16" s="24">
        <v>1.0076141709146167</v>
      </c>
      <c r="V16" s="24">
        <v>1.0405800986386498</v>
      </c>
      <c r="W16" s="24">
        <v>1.1129882029284559</v>
      </c>
      <c r="X16" s="25">
        <v>2.197675960947E-3</v>
      </c>
      <c r="Y16" s="26">
        <v>0.44745422921840972</v>
      </c>
      <c r="Z16" s="26">
        <v>-1.3011986852251578E-4</v>
      </c>
      <c r="AA16" s="26">
        <v>62.78846153846154</v>
      </c>
      <c r="AB16" s="26">
        <v>66.145104895104907</v>
      </c>
      <c r="AC16" s="26">
        <v>73.076923076923066</v>
      </c>
      <c r="AD16" s="26">
        <v>40.57692307692308</v>
      </c>
      <c r="AE16" s="26">
        <v>63.46416083916084</v>
      </c>
      <c r="AF16" s="23">
        <v>3</v>
      </c>
      <c r="AG16" s="36">
        <v>4</v>
      </c>
    </row>
    <row r="17" spans="1:33">
      <c r="A17" s="22" t="s">
        <v>33</v>
      </c>
      <c r="B17" s="23">
        <v>20</v>
      </c>
      <c r="C17" s="23" t="s">
        <v>85</v>
      </c>
      <c r="D17" s="23" t="s">
        <v>86</v>
      </c>
      <c r="E17" s="23" t="s">
        <v>80</v>
      </c>
      <c r="F17" s="23">
        <v>10</v>
      </c>
      <c r="G17" s="23" t="s">
        <v>181</v>
      </c>
      <c r="H17" s="23">
        <v>1000</v>
      </c>
      <c r="I17" s="23" t="s">
        <v>192</v>
      </c>
      <c r="J17" s="23" t="s">
        <v>183</v>
      </c>
      <c r="K17" s="23">
        <v>31</v>
      </c>
      <c r="L17" s="23">
        <v>2.5000000000000001E-3</v>
      </c>
      <c r="M17" s="23" t="s">
        <v>184</v>
      </c>
      <c r="N17" s="23">
        <v>43342</v>
      </c>
      <c r="O17" s="24">
        <v>-1.9583861830895998E-3</v>
      </c>
      <c r="P17" s="24">
        <v>-5.3478261498970004E-4</v>
      </c>
      <c r="Q17" s="24">
        <v>1.0171372825142E-3</v>
      </c>
      <c r="R17" s="24">
        <v>7.9709918398429558E-4</v>
      </c>
      <c r="S17" s="24">
        <v>6.8434621620960812E-3</v>
      </c>
      <c r="T17" s="24">
        <v>0.98432675550872994</v>
      </c>
      <c r="U17" s="24">
        <v>1.0068782810432291</v>
      </c>
      <c r="V17" s="24">
        <v>1.0069363485227474</v>
      </c>
      <c r="W17" s="24">
        <v>1.0603634679803009</v>
      </c>
      <c r="X17" s="25">
        <v>1.9899828963131001E-3</v>
      </c>
      <c r="Y17" s="26">
        <v>0.44631575440797261</v>
      </c>
      <c r="Z17" s="26">
        <v>-2.3385031173084325E-4</v>
      </c>
      <c r="AA17" s="26">
        <v>43.549843014128733</v>
      </c>
      <c r="AB17" s="26">
        <v>76.5472027972028</v>
      </c>
      <c r="AC17" s="26">
        <v>71.15384615384616</v>
      </c>
      <c r="AD17" s="26">
        <v>62.5</v>
      </c>
      <c r="AE17" s="26">
        <v>59.214999286427862</v>
      </c>
      <c r="AF17" s="23">
        <v>3</v>
      </c>
      <c r="AG17" s="36">
        <v>4</v>
      </c>
    </row>
    <row r="18" spans="1:33">
      <c r="A18" s="22" t="s">
        <v>33</v>
      </c>
      <c r="B18" s="23">
        <v>17</v>
      </c>
      <c r="C18" s="23" t="s">
        <v>79</v>
      </c>
      <c r="D18" s="23" t="s">
        <v>80</v>
      </c>
      <c r="E18" s="23" t="s">
        <v>80</v>
      </c>
      <c r="F18" s="23">
        <v>3</v>
      </c>
      <c r="G18" s="23" t="s">
        <v>181</v>
      </c>
      <c r="H18" s="23">
        <v>1000</v>
      </c>
      <c r="I18" s="23" t="s">
        <v>192</v>
      </c>
      <c r="J18" s="23" t="s">
        <v>183</v>
      </c>
      <c r="K18" s="23">
        <v>31</v>
      </c>
      <c r="L18" s="23">
        <v>5.0000000000000001E-3</v>
      </c>
      <c r="M18" s="23" t="s">
        <v>184</v>
      </c>
      <c r="N18" s="23">
        <v>40771</v>
      </c>
      <c r="O18" s="24">
        <v>-1.3114369341284001E-3</v>
      </c>
      <c r="P18" s="24">
        <v>-6.8556187854790002E-4</v>
      </c>
      <c r="Q18" s="24">
        <v>5.7993294995760001E-4</v>
      </c>
      <c r="R18" s="24">
        <v>1.3615067124805869E-3</v>
      </c>
      <c r="S18" s="24">
        <v>6.7155048117630844E-3</v>
      </c>
      <c r="T18" s="24">
        <v>0.97990776320097317</v>
      </c>
      <c r="U18" s="24">
        <v>1.0039217339533333</v>
      </c>
      <c r="V18" s="24">
        <v>1.0118507746769438</v>
      </c>
      <c r="W18" s="24">
        <v>1.0592283609054731</v>
      </c>
      <c r="X18" s="25">
        <v>1.4395364766520999E-3</v>
      </c>
      <c r="Y18" s="26">
        <v>0.35177663532469561</v>
      </c>
      <c r="Z18" s="26" t="s">
        <v>185</v>
      </c>
      <c r="AA18" s="26">
        <v>44.561093668236524</v>
      </c>
      <c r="AB18" s="26">
        <v>91.272189349112423</v>
      </c>
      <c r="AC18" s="26">
        <v>69.230769230769226</v>
      </c>
      <c r="AD18" s="26">
        <v>52.884615384615387</v>
      </c>
      <c r="AE18" s="26">
        <v>62.005154872599924</v>
      </c>
      <c r="AF18" s="23">
        <v>3</v>
      </c>
      <c r="AG18" s="36">
        <v>4</v>
      </c>
    </row>
    <row r="19" spans="1:33">
      <c r="A19" s="22" t="s">
        <v>33</v>
      </c>
      <c r="B19" s="23">
        <v>11</v>
      </c>
      <c r="C19" s="23" t="s">
        <v>51</v>
      </c>
      <c r="D19" s="23" t="s">
        <v>39</v>
      </c>
      <c r="E19" s="23" t="s">
        <v>39</v>
      </c>
      <c r="F19" s="23">
        <v>11</v>
      </c>
      <c r="G19" s="23" t="s">
        <v>181</v>
      </c>
      <c r="H19" s="23">
        <v>1000</v>
      </c>
      <c r="I19" s="23" t="s">
        <v>197</v>
      </c>
      <c r="J19" s="23" t="s">
        <v>183</v>
      </c>
      <c r="K19" s="23">
        <v>46</v>
      </c>
      <c r="L19" s="23">
        <v>6.0000000000000001E-3</v>
      </c>
      <c r="M19" s="23" t="s">
        <v>184</v>
      </c>
      <c r="N19" s="23">
        <v>44172</v>
      </c>
      <c r="O19" s="24">
        <v>-2.6164130109771E-3</v>
      </c>
      <c r="P19" s="24">
        <v>-2.6310792083654002E-3</v>
      </c>
      <c r="Q19" s="24">
        <v>5.0214797051710005E-4</v>
      </c>
      <c r="R19" s="24">
        <v>7.4643461588776994E-3</v>
      </c>
      <c r="S19" s="24">
        <v>1.6331772962822955E-2</v>
      </c>
      <c r="T19" s="24">
        <v>0.92288913933860639</v>
      </c>
      <c r="U19" s="24">
        <v>1.003395721429035</v>
      </c>
      <c r="V19" s="24">
        <v>1.0651461893587979</v>
      </c>
      <c r="W19" s="24">
        <v>1.1452215470360594</v>
      </c>
      <c r="X19" s="25">
        <v>1.4793059512696E-3</v>
      </c>
      <c r="Y19" s="26">
        <v>0.29654696783702911</v>
      </c>
      <c r="Z19" s="26">
        <v>-6.8956247504581292E-5</v>
      </c>
      <c r="AA19" s="26">
        <v>73.727106227106233</v>
      </c>
      <c r="AB19" s="26">
        <v>81.67832167832168</v>
      </c>
      <c r="AC19" s="26">
        <v>67.307692307692307</v>
      </c>
      <c r="AD19" s="26">
        <v>23.26923076923077</v>
      </c>
      <c r="AE19" s="26">
        <v>69.38523976023977</v>
      </c>
      <c r="AF19" s="23">
        <v>3</v>
      </c>
      <c r="AG19" s="36">
        <v>4</v>
      </c>
    </row>
    <row r="20" spans="1:33">
      <c r="A20" s="22" t="s">
        <v>33</v>
      </c>
      <c r="B20" s="23">
        <v>15</v>
      </c>
      <c r="C20" s="23" t="s">
        <v>57</v>
      </c>
      <c r="D20" s="23" t="s">
        <v>58</v>
      </c>
      <c r="E20" s="23" t="s">
        <v>180</v>
      </c>
      <c r="F20" s="23">
        <v>13</v>
      </c>
      <c r="G20" s="23" t="s">
        <v>181</v>
      </c>
      <c r="H20" s="23">
        <v>1000</v>
      </c>
      <c r="I20" s="23" t="s">
        <v>192</v>
      </c>
      <c r="J20" s="23" t="s">
        <v>183</v>
      </c>
      <c r="K20" s="23">
        <v>31</v>
      </c>
      <c r="L20" s="23">
        <v>6.9999999999999993E-3</v>
      </c>
      <c r="M20" s="23" t="s">
        <v>184</v>
      </c>
      <c r="N20" s="23">
        <v>44819</v>
      </c>
      <c r="O20" s="24">
        <v>-1.7979314173606001E-3</v>
      </c>
      <c r="P20" s="24">
        <v>-1.7776635172845E-3</v>
      </c>
      <c r="Q20" s="24">
        <v>-3.32622381333E-5</v>
      </c>
      <c r="R20" s="24">
        <v>6.3334645539963041E-3</v>
      </c>
      <c r="S20" s="24">
        <v>1.827497605076811E-2</v>
      </c>
      <c r="T20" s="24">
        <v>0.94790078407813039</v>
      </c>
      <c r="U20" s="24">
        <v>0.99977506770625624</v>
      </c>
      <c r="V20" s="24">
        <v>1.0552486917529669</v>
      </c>
      <c r="W20" s="24">
        <v>1.1627683450418509</v>
      </c>
      <c r="X20" s="25">
        <v>2.4863876942886999E-3</v>
      </c>
      <c r="Y20" s="26">
        <v>-1.04264203830095E-2</v>
      </c>
      <c r="Z20" s="26">
        <v>-2.4751980137605045E-4</v>
      </c>
      <c r="AA20" s="26">
        <v>74.878990057561481</v>
      </c>
      <c r="AB20" s="26">
        <v>58.92482517482518</v>
      </c>
      <c r="AC20" s="26">
        <v>63.46153846153846</v>
      </c>
      <c r="AD20" s="26">
        <v>30.576923076923073</v>
      </c>
      <c r="AE20" s="26">
        <v>64.176751819608953</v>
      </c>
      <c r="AF20" s="23">
        <v>2</v>
      </c>
      <c r="AG20" s="36">
        <v>4</v>
      </c>
    </row>
    <row r="21" spans="1:33">
      <c r="A21" s="22" t="s">
        <v>33</v>
      </c>
      <c r="B21" s="23">
        <v>19</v>
      </c>
      <c r="C21" s="23" t="s">
        <v>83</v>
      </c>
      <c r="D21" s="23" t="s">
        <v>84</v>
      </c>
      <c r="E21" s="23" t="s">
        <v>80</v>
      </c>
      <c r="F21" s="23">
        <v>6</v>
      </c>
      <c r="G21" s="23" t="s">
        <v>181</v>
      </c>
      <c r="H21" s="23">
        <v>1000</v>
      </c>
      <c r="I21" s="23" t="s">
        <v>195</v>
      </c>
      <c r="J21" s="23" t="s">
        <v>183</v>
      </c>
      <c r="K21" s="23">
        <v>16</v>
      </c>
      <c r="L21" s="23">
        <v>6.0000000000000001E-3</v>
      </c>
      <c r="M21" s="23" t="s">
        <v>184</v>
      </c>
      <c r="N21" s="23">
        <v>43671</v>
      </c>
      <c r="O21" s="24">
        <v>-1.5195373957281001E-3</v>
      </c>
      <c r="P21" s="24">
        <v>-1.4012727040898999E-3</v>
      </c>
      <c r="Q21" s="24">
        <v>-3.112113564154E-4</v>
      </c>
      <c r="R21" s="24">
        <v>2.6148838448838418E-3</v>
      </c>
      <c r="S21" s="24">
        <v>9.1189736103305385E-3</v>
      </c>
      <c r="T21" s="24">
        <v>0.95893193033104385</v>
      </c>
      <c r="U21" s="24">
        <v>0.99789546680662577</v>
      </c>
      <c r="V21" s="24">
        <v>1.0227729869159607</v>
      </c>
      <c r="W21" s="24">
        <v>1.0805906114596979</v>
      </c>
      <c r="X21" s="25">
        <v>1.8297901850107001E-3</v>
      </c>
      <c r="Y21" s="26">
        <v>-0.1473642823481488</v>
      </c>
      <c r="Z21" s="26" t="s">
        <v>185</v>
      </c>
      <c r="AA21" s="26">
        <v>50.238749345892209</v>
      </c>
      <c r="AB21" s="26">
        <v>79.73372781065089</v>
      </c>
      <c r="AC21" s="26">
        <v>61.53846153846154</v>
      </c>
      <c r="AD21" s="26">
        <v>65.384615384615387</v>
      </c>
      <c r="AE21" s="26">
        <v>61.38702300446807</v>
      </c>
      <c r="AF21" s="23">
        <v>2</v>
      </c>
      <c r="AG21" s="36">
        <v>4</v>
      </c>
    </row>
    <row r="22" spans="1:33">
      <c r="A22" s="22" t="s">
        <v>33</v>
      </c>
      <c r="B22" s="23">
        <v>9</v>
      </c>
      <c r="C22" s="23" t="s">
        <v>47</v>
      </c>
      <c r="D22" s="23" t="s">
        <v>48</v>
      </c>
      <c r="E22" s="23" t="s">
        <v>180</v>
      </c>
      <c r="F22" s="23">
        <v>10</v>
      </c>
      <c r="G22" s="23" t="s">
        <v>181</v>
      </c>
      <c r="H22" s="23">
        <v>1000</v>
      </c>
      <c r="I22" s="23" t="s">
        <v>190</v>
      </c>
      <c r="J22" s="23" t="s">
        <v>183</v>
      </c>
      <c r="K22" s="23">
        <v>10</v>
      </c>
      <c r="L22" s="23">
        <v>5.0000000000000001E-3</v>
      </c>
      <c r="M22" s="23" t="s">
        <v>184</v>
      </c>
      <c r="N22" s="23">
        <v>45321</v>
      </c>
      <c r="O22" s="24">
        <v>-1.8205296951647001E-3</v>
      </c>
      <c r="P22" s="24">
        <v>-1.1935229834043001E-3</v>
      </c>
      <c r="Q22" s="24">
        <v>-8.8364034197579999E-4</v>
      </c>
      <c r="R22" s="24">
        <v>7.7452252481819972E-3</v>
      </c>
      <c r="S22" s="24" t="s">
        <v>185</v>
      </c>
      <c r="T22" s="24">
        <v>0.96502059528392559</v>
      </c>
      <c r="U22" s="24">
        <v>0.99402447760225576</v>
      </c>
      <c r="V22" s="24">
        <v>1.0676059740667374</v>
      </c>
      <c r="W22" s="24" t="s">
        <v>185</v>
      </c>
      <c r="X22" s="25">
        <v>1.6284688794644001E-3</v>
      </c>
      <c r="Y22" s="26">
        <v>-0.47235098256627678</v>
      </c>
      <c r="Z22" s="26">
        <v>-1.4785599259325988E-4</v>
      </c>
      <c r="AA22" s="26">
        <v>73.817700156985879</v>
      </c>
      <c r="AB22" s="26">
        <v>83.400349650349654</v>
      </c>
      <c r="AC22" s="26">
        <v>55.769230769230774</v>
      </c>
      <c r="AD22" s="26">
        <v>87.5</v>
      </c>
      <c r="AE22" s="26">
        <v>73.971898637077217</v>
      </c>
      <c r="AF22" s="23">
        <v>1</v>
      </c>
      <c r="AG22" s="36">
        <v>3</v>
      </c>
    </row>
    <row r="23" spans="1:33">
      <c r="A23" s="22" t="s">
        <v>33</v>
      </c>
      <c r="B23" s="23">
        <v>21</v>
      </c>
      <c r="C23" s="23" t="s">
        <v>87</v>
      </c>
      <c r="D23" s="23" t="s">
        <v>88</v>
      </c>
      <c r="E23" s="23" t="s">
        <v>180</v>
      </c>
      <c r="F23" s="23">
        <v>11</v>
      </c>
      <c r="G23" s="23" t="s">
        <v>181</v>
      </c>
      <c r="H23" s="23">
        <v>500</v>
      </c>
      <c r="I23" s="23" t="s">
        <v>188</v>
      </c>
      <c r="J23" s="23" t="s">
        <v>183</v>
      </c>
      <c r="K23" s="23">
        <v>30</v>
      </c>
      <c r="L23" s="23">
        <v>6.0000000000000001E-3</v>
      </c>
      <c r="M23" s="23" t="s">
        <v>184</v>
      </c>
      <c r="N23" s="23">
        <v>43971</v>
      </c>
      <c r="O23" s="24">
        <v>-1.0301240641818999E-3</v>
      </c>
      <c r="P23" s="24">
        <v>6.7654321307019998E-4</v>
      </c>
      <c r="Q23" s="24">
        <v>-1.1713860355024E-3</v>
      </c>
      <c r="R23" s="24">
        <v>7.5166903971624066E-3</v>
      </c>
      <c r="S23" s="24">
        <v>1.6110251281607146E-2</v>
      </c>
      <c r="T23" s="24">
        <v>1.0198279205234864</v>
      </c>
      <c r="U23" s="24">
        <v>0.99207862842036099</v>
      </c>
      <c r="V23" s="24">
        <v>1.0656045454128369</v>
      </c>
      <c r="W23" s="24">
        <v>1.1432248766866846</v>
      </c>
      <c r="X23" s="25">
        <v>5.6807037317511003E-3</v>
      </c>
      <c r="Y23" s="26">
        <v>-0.17700014392457819</v>
      </c>
      <c r="Z23" s="26">
        <v>-5.071022322368E-3</v>
      </c>
      <c r="AA23" s="26">
        <v>77.132391418105712</v>
      </c>
      <c r="AB23" s="26">
        <v>23.75874125874126</v>
      </c>
      <c r="AC23" s="26">
        <v>59.615384615384613</v>
      </c>
      <c r="AD23" s="26">
        <v>58.461538461538467</v>
      </c>
      <c r="AE23" s="26">
        <v>58.418492222063655</v>
      </c>
      <c r="AF23" s="23">
        <v>3</v>
      </c>
      <c r="AG23" s="36">
        <v>4</v>
      </c>
    </row>
    <row r="24" spans="1:33">
      <c r="A24" s="22" t="s">
        <v>33</v>
      </c>
      <c r="B24" s="23">
        <v>30</v>
      </c>
      <c r="C24" s="23" t="s">
        <v>106</v>
      </c>
      <c r="D24" s="23" t="s">
        <v>107</v>
      </c>
      <c r="E24" s="23" t="s">
        <v>191</v>
      </c>
      <c r="F24" s="23">
        <v>11</v>
      </c>
      <c r="G24" s="23" t="s">
        <v>181</v>
      </c>
      <c r="H24" s="23">
        <v>500</v>
      </c>
      <c r="I24" s="23" t="s">
        <v>192</v>
      </c>
      <c r="J24" s="23" t="s">
        <v>183</v>
      </c>
      <c r="K24" s="23">
        <v>31</v>
      </c>
      <c r="L24" s="23">
        <v>6.0000000000000001E-3</v>
      </c>
      <c r="M24" s="23" t="s">
        <v>184</v>
      </c>
      <c r="N24" s="23">
        <v>45197</v>
      </c>
      <c r="O24" s="24">
        <v>-5.4506902078855996E-3</v>
      </c>
      <c r="P24" s="24">
        <v>-6.6507020948972997E-3</v>
      </c>
      <c r="Q24" s="24">
        <v>-1.9659786877552002E-3</v>
      </c>
      <c r="R24" s="24">
        <v>4.6614994452602865E-3</v>
      </c>
      <c r="S24" s="24" t="s">
        <v>185</v>
      </c>
      <c r="T24" s="24">
        <v>0.80508326738720026</v>
      </c>
      <c r="U24" s="24">
        <v>0.98670528140906155</v>
      </c>
      <c r="V24" s="24">
        <v>1.0406336509598584</v>
      </c>
      <c r="W24" s="24" t="s">
        <v>185</v>
      </c>
      <c r="X24" s="25">
        <v>7.6044769578499996E-3</v>
      </c>
      <c r="Y24" s="26">
        <v>-0.22175690962678901</v>
      </c>
      <c r="Z24" s="26">
        <v>-2.3221545959904999E-3</v>
      </c>
      <c r="AA24" s="26">
        <v>52.001569858712728</v>
      </c>
      <c r="AB24" s="26">
        <v>29.702797202797203</v>
      </c>
      <c r="AC24" s="26">
        <v>57.692307692307686</v>
      </c>
      <c r="AD24" s="26">
        <v>40.57692307692308</v>
      </c>
      <c r="AE24" s="26">
        <v>46.422559583273873</v>
      </c>
      <c r="AF24" s="23">
        <v>1</v>
      </c>
      <c r="AG24" s="36">
        <v>3</v>
      </c>
    </row>
    <row r="25" spans="1:33">
      <c r="A25" s="22" t="s">
        <v>33</v>
      </c>
      <c r="B25" s="23">
        <v>26</v>
      </c>
      <c r="C25" s="23" t="s">
        <v>98</v>
      </c>
      <c r="D25" s="23" t="s">
        <v>99</v>
      </c>
      <c r="E25" s="23" t="s">
        <v>198</v>
      </c>
      <c r="F25" s="23">
        <v>11</v>
      </c>
      <c r="G25" s="23" t="s">
        <v>181</v>
      </c>
      <c r="H25" s="23">
        <v>3000</v>
      </c>
      <c r="I25" s="23" t="s">
        <v>192</v>
      </c>
      <c r="J25" s="23" t="s">
        <v>183</v>
      </c>
      <c r="K25" s="23">
        <v>31</v>
      </c>
      <c r="L25" s="23">
        <v>5.0000000000000001E-3</v>
      </c>
      <c r="M25" s="23" t="s">
        <v>184</v>
      </c>
      <c r="N25" s="23">
        <v>41506</v>
      </c>
      <c r="O25" s="24">
        <v>-1.6101530210064E-3</v>
      </c>
      <c r="P25" s="24">
        <v>-1.6884426157608001E-3</v>
      </c>
      <c r="Q25" s="24">
        <v>-1.9827652667613999E-3</v>
      </c>
      <c r="R25" s="24">
        <v>1.4479960740418907E-3</v>
      </c>
      <c r="S25" s="24">
        <v>9.2782462853939762E-3</v>
      </c>
      <c r="T25" s="24">
        <v>0.950515642834038</v>
      </c>
      <c r="U25" s="24">
        <v>0.98659176398113557</v>
      </c>
      <c r="V25" s="24">
        <v>1.0126040741245226</v>
      </c>
      <c r="W25" s="24">
        <v>1.0820093130151769</v>
      </c>
      <c r="X25" s="25">
        <v>1.8030726474217999E-3</v>
      </c>
      <c r="Y25" s="26">
        <v>-0.95845102660953962</v>
      </c>
      <c r="Z25" s="26">
        <v>-3.2458587828665403E-4</v>
      </c>
      <c r="AA25" s="26">
        <v>43.195316588173725</v>
      </c>
      <c r="AB25" s="26">
        <v>73.513986013986013</v>
      </c>
      <c r="AC25" s="26">
        <v>38.461538461538467</v>
      </c>
      <c r="AD25" s="26">
        <v>52.884615384615387</v>
      </c>
      <c r="AE25" s="26">
        <v>50.797158198943912</v>
      </c>
      <c r="AF25" s="23">
        <v>2</v>
      </c>
      <c r="AG25" s="36">
        <v>4</v>
      </c>
    </row>
    <row r="26" spans="1:33">
      <c r="A26" s="22" t="s">
        <v>33</v>
      </c>
      <c r="B26" s="23">
        <v>24</v>
      </c>
      <c r="C26" s="23" t="s">
        <v>93</v>
      </c>
      <c r="D26" s="23" t="s">
        <v>94</v>
      </c>
      <c r="E26" s="23" t="s">
        <v>191</v>
      </c>
      <c r="F26" s="23">
        <v>2</v>
      </c>
      <c r="G26" s="23" t="s">
        <v>181</v>
      </c>
      <c r="H26" s="23">
        <v>100</v>
      </c>
      <c r="I26" s="23" t="s">
        <v>199</v>
      </c>
      <c r="J26" s="23" t="s">
        <v>183</v>
      </c>
      <c r="K26" s="23">
        <v>7</v>
      </c>
      <c r="L26" s="23">
        <v>5.0000000000000001E-3</v>
      </c>
      <c r="M26" s="23" t="s">
        <v>184</v>
      </c>
      <c r="N26" s="23">
        <v>40120</v>
      </c>
      <c r="O26" s="24">
        <v>-1.8194777668665001E-3</v>
      </c>
      <c r="P26" s="24">
        <v>-1.7627510951393999E-3</v>
      </c>
      <c r="Q26" s="24">
        <v>-2.5106025438974E-3</v>
      </c>
      <c r="R26" s="24">
        <v>1.5014080023536547E-3</v>
      </c>
      <c r="S26" s="24">
        <v>7.5315798830641878E-3</v>
      </c>
      <c r="T26" s="24">
        <v>0.94833783276237404</v>
      </c>
      <c r="U26" s="24">
        <v>0.98302232139000401</v>
      </c>
      <c r="V26" s="24">
        <v>1.0130693066444278</v>
      </c>
      <c r="W26" s="24">
        <v>1.0664719674536054</v>
      </c>
      <c r="X26" s="25">
        <v>1.0279062454941999E-3</v>
      </c>
      <c r="Y26" s="26">
        <v>-2.1307755252753235</v>
      </c>
      <c r="Z26" s="26" t="s">
        <v>185</v>
      </c>
      <c r="AA26" s="26">
        <v>39.512689691261116</v>
      </c>
      <c r="AB26" s="26">
        <v>97.041420118343197</v>
      </c>
      <c r="AC26" s="26">
        <v>7.6923076923076925</v>
      </c>
      <c r="AD26" s="26">
        <v>90.384615384615387</v>
      </c>
      <c r="AE26" s="26">
        <v>52.617988467576382</v>
      </c>
      <c r="AF26" s="23">
        <v>2</v>
      </c>
      <c r="AG26" s="36">
        <v>4</v>
      </c>
    </row>
    <row r="27" spans="1:33">
      <c r="A27" s="22" t="s">
        <v>33</v>
      </c>
      <c r="B27" s="23">
        <v>22</v>
      </c>
      <c r="C27" s="23" t="s">
        <v>89</v>
      </c>
      <c r="D27" s="23" t="s">
        <v>90</v>
      </c>
      <c r="E27" s="23" t="s">
        <v>180</v>
      </c>
      <c r="F27" s="23">
        <v>11</v>
      </c>
      <c r="G27" s="23" t="s">
        <v>181</v>
      </c>
      <c r="H27" s="23">
        <v>5000</v>
      </c>
      <c r="I27" s="23" t="s">
        <v>192</v>
      </c>
      <c r="J27" s="23" t="s">
        <v>183</v>
      </c>
      <c r="K27" s="23">
        <v>31</v>
      </c>
      <c r="L27" s="23">
        <v>5.0000000000000001E-3</v>
      </c>
      <c r="M27" s="23" t="s">
        <v>184</v>
      </c>
      <c r="N27" s="23">
        <v>40899</v>
      </c>
      <c r="O27" s="24">
        <v>-1.9888360366057999E-3</v>
      </c>
      <c r="P27" s="24">
        <v>-1.3535516721105E-3</v>
      </c>
      <c r="Q27" s="24">
        <v>-2.5815540001459E-3</v>
      </c>
      <c r="R27" s="24">
        <v>4.0668628650581962E-3</v>
      </c>
      <c r="S27" s="24">
        <v>1.7713039013118159E-2</v>
      </c>
      <c r="T27" s="24">
        <v>0.96033052366714677</v>
      </c>
      <c r="U27" s="24">
        <v>0.98254251982841245</v>
      </c>
      <c r="V27" s="24">
        <v>1.0354409786495291</v>
      </c>
      <c r="W27" s="24">
        <v>1.1576882643885245</v>
      </c>
      <c r="X27" s="25">
        <v>2.7795453917199E-3</v>
      </c>
      <c r="Y27" s="26">
        <v>-0.80908806782677278</v>
      </c>
      <c r="Z27" s="26">
        <v>-1.4421601708661999E-3</v>
      </c>
      <c r="AA27" s="26">
        <v>60.978545264259544</v>
      </c>
      <c r="AB27" s="26">
        <v>51.92307692307692</v>
      </c>
      <c r="AC27" s="26">
        <v>48.07692307692308</v>
      </c>
      <c r="AD27" s="26">
        <v>52.884615384615387</v>
      </c>
      <c r="AE27" s="26">
        <v>55.324960753532181</v>
      </c>
      <c r="AF27" s="23">
        <v>2</v>
      </c>
      <c r="AG27" s="36">
        <v>4</v>
      </c>
    </row>
    <row r="28" spans="1:33">
      <c r="A28" s="22" t="s">
        <v>33</v>
      </c>
      <c r="B28" s="23">
        <v>28</v>
      </c>
      <c r="C28" s="23" t="s">
        <v>102</v>
      </c>
      <c r="D28" s="23" t="s">
        <v>103</v>
      </c>
      <c r="E28" s="23" t="s">
        <v>180</v>
      </c>
      <c r="F28" s="23">
        <v>10</v>
      </c>
      <c r="G28" s="23" t="s">
        <v>181</v>
      </c>
      <c r="H28" s="23">
        <v>1000</v>
      </c>
      <c r="I28" s="23" t="s">
        <v>188</v>
      </c>
      <c r="J28" s="23" t="s">
        <v>183</v>
      </c>
      <c r="K28" s="23">
        <v>30</v>
      </c>
      <c r="L28" s="23">
        <v>7.4999999999999997E-3</v>
      </c>
      <c r="M28" s="23" t="s">
        <v>184</v>
      </c>
      <c r="N28" s="23">
        <v>41023</v>
      </c>
      <c r="O28" s="24">
        <v>-3.9827048890110003E-3</v>
      </c>
      <c r="P28" s="24">
        <v>-3.5895727264130001E-3</v>
      </c>
      <c r="Q28" s="24">
        <v>-2.6712443755765002E-3</v>
      </c>
      <c r="R28" s="24">
        <v>1.2203407704727276E-3</v>
      </c>
      <c r="S28" s="24">
        <v>9.5326981889085616E-3</v>
      </c>
      <c r="T28" s="24">
        <v>0.89479790594661379</v>
      </c>
      <c r="U28" s="24">
        <v>0.98193599834926715</v>
      </c>
      <c r="V28" s="24">
        <v>1.0106213803817039</v>
      </c>
      <c r="W28" s="24">
        <v>1.0842766044801111</v>
      </c>
      <c r="X28" s="25">
        <v>3.0975766364641998E-3</v>
      </c>
      <c r="Y28" s="26">
        <v>-0.7510148708049591</v>
      </c>
      <c r="Z28" s="26">
        <v>-3.4163604085313271E-4</v>
      </c>
      <c r="AA28" s="26">
        <v>37.254709576138147</v>
      </c>
      <c r="AB28" s="26">
        <v>62.115384615384613</v>
      </c>
      <c r="AC28" s="26">
        <v>50</v>
      </c>
      <c r="AD28" s="26">
        <v>45.769230769230766</v>
      </c>
      <c r="AE28" s="26">
        <v>46.870388540031399</v>
      </c>
      <c r="AF28" s="23">
        <v>2</v>
      </c>
      <c r="AG28" s="36">
        <v>4</v>
      </c>
    </row>
    <row r="29" spans="1:33">
      <c r="A29" s="22" t="s">
        <v>33</v>
      </c>
      <c r="B29" s="23">
        <v>33</v>
      </c>
      <c r="C29" s="23" t="s">
        <v>111</v>
      </c>
      <c r="D29" s="23" t="s">
        <v>112</v>
      </c>
      <c r="E29" s="23" t="s">
        <v>189</v>
      </c>
      <c r="F29" s="23">
        <v>11</v>
      </c>
      <c r="G29" s="23" t="s">
        <v>181</v>
      </c>
      <c r="H29" s="23">
        <v>500</v>
      </c>
      <c r="I29" s="23" t="s">
        <v>190</v>
      </c>
      <c r="J29" s="23" t="s">
        <v>183</v>
      </c>
      <c r="K29" s="23">
        <v>10</v>
      </c>
      <c r="L29" s="23">
        <v>6.5000000000000006E-3</v>
      </c>
      <c r="M29" s="23" t="s">
        <v>184</v>
      </c>
      <c r="N29" s="23">
        <v>45133</v>
      </c>
      <c r="O29" s="24">
        <v>-2.0009481235333999E-3</v>
      </c>
      <c r="P29" s="24">
        <v>-2.584866027596E-3</v>
      </c>
      <c r="Q29" s="24">
        <v>-3.1770594028827999E-3</v>
      </c>
      <c r="R29" s="24">
        <v>7.4117425006225979E-4</v>
      </c>
      <c r="S29" s="24" t="s">
        <v>185</v>
      </c>
      <c r="T29" s="24">
        <v>0.92424354103495399</v>
      </c>
      <c r="U29" s="24">
        <v>0.97851547884466195</v>
      </c>
      <c r="V29" s="24">
        <v>1.0064495307959236</v>
      </c>
      <c r="W29" s="24" t="s">
        <v>185</v>
      </c>
      <c r="X29" s="25">
        <v>2.0671094447465002E-3</v>
      </c>
      <c r="Y29" s="26">
        <v>-1.3405149491170585</v>
      </c>
      <c r="Z29" s="26">
        <v>-3.6899504041176812E-4</v>
      </c>
      <c r="AA29" s="26">
        <v>34.114992150706442</v>
      </c>
      <c r="AB29" s="26">
        <v>65.93531468531468</v>
      </c>
      <c r="AC29" s="26">
        <v>25</v>
      </c>
      <c r="AD29" s="26">
        <v>68.269230769230774</v>
      </c>
      <c r="AE29" s="26">
        <v>43.662498216069643</v>
      </c>
      <c r="AF29" s="23">
        <v>1</v>
      </c>
      <c r="AG29" s="36">
        <v>3</v>
      </c>
    </row>
    <row r="30" spans="1:33">
      <c r="A30" s="22" t="s">
        <v>33</v>
      </c>
      <c r="B30" s="23">
        <v>35</v>
      </c>
      <c r="C30" s="23" t="s">
        <v>115</v>
      </c>
      <c r="D30" s="23" t="s">
        <v>116</v>
      </c>
      <c r="E30" s="23" t="s">
        <v>180</v>
      </c>
      <c r="F30" s="23">
        <v>13</v>
      </c>
      <c r="G30" s="23" t="s">
        <v>181</v>
      </c>
      <c r="H30" s="23">
        <v>500</v>
      </c>
      <c r="I30" s="23" t="s">
        <v>188</v>
      </c>
      <c r="J30" s="23" t="s">
        <v>183</v>
      </c>
      <c r="K30" s="23">
        <v>30</v>
      </c>
      <c r="L30" s="23">
        <v>6.6E-3</v>
      </c>
      <c r="M30" s="23" t="s">
        <v>184</v>
      </c>
      <c r="N30" s="23">
        <v>45415</v>
      </c>
      <c r="O30" s="24">
        <v>-2.0269719630814E-3</v>
      </c>
      <c r="P30" s="24">
        <v>-4.5472665140223996E-3</v>
      </c>
      <c r="Q30" s="24">
        <v>-3.4911622661301998E-3</v>
      </c>
      <c r="R30" s="24" t="s">
        <v>185</v>
      </c>
      <c r="S30" s="24" t="s">
        <v>185</v>
      </c>
      <c r="T30" s="24">
        <v>0.86673011080846862</v>
      </c>
      <c r="U30" s="24">
        <v>0.97639139214855941</v>
      </c>
      <c r="V30" s="24" t="s">
        <v>185</v>
      </c>
      <c r="W30" s="24" t="s">
        <v>185</v>
      </c>
      <c r="X30" s="25">
        <v>2.7935003204874E-3</v>
      </c>
      <c r="Y30" s="26">
        <v>-1.0896059079486908</v>
      </c>
      <c r="Z30" s="26">
        <v>-1.1184834790013E-3</v>
      </c>
      <c r="AA30" s="26">
        <v>41.92307692307692</v>
      </c>
      <c r="AB30" s="26">
        <v>46.71328671328672</v>
      </c>
      <c r="AC30" s="26">
        <v>36.538461538461533</v>
      </c>
      <c r="AD30" s="26">
        <v>50.384615384615387</v>
      </c>
      <c r="AE30" s="26">
        <v>42.88986013986014</v>
      </c>
      <c r="AF30" s="23">
        <v>0</v>
      </c>
      <c r="AG30" s="36">
        <v>2</v>
      </c>
    </row>
    <row r="31" spans="1:33">
      <c r="A31" s="22" t="s">
        <v>95</v>
      </c>
      <c r="B31" s="23">
        <v>29</v>
      </c>
      <c r="C31" s="23" t="s">
        <v>104</v>
      </c>
      <c r="D31" s="23" t="s">
        <v>105</v>
      </c>
      <c r="E31" s="23" t="s">
        <v>198</v>
      </c>
      <c r="F31" s="23">
        <v>11</v>
      </c>
      <c r="G31" s="23" t="s">
        <v>181</v>
      </c>
      <c r="H31" s="23">
        <v>3000</v>
      </c>
      <c r="I31" s="23" t="s">
        <v>188</v>
      </c>
      <c r="J31" s="23" t="s">
        <v>183</v>
      </c>
      <c r="K31" s="23">
        <v>30</v>
      </c>
      <c r="L31" s="23">
        <v>5.0000000000000001E-3</v>
      </c>
      <c r="M31" s="23" t="s">
        <v>184</v>
      </c>
      <c r="N31" s="23">
        <v>43798</v>
      </c>
      <c r="O31" s="24">
        <v>-3.8970627895427001E-3</v>
      </c>
      <c r="P31" s="24">
        <v>-5.7899724037290996E-3</v>
      </c>
      <c r="Q31" s="24">
        <v>-3.5060648920450001E-3</v>
      </c>
      <c r="R31" s="24">
        <v>3.4066136013901627E-3</v>
      </c>
      <c r="S31" s="24">
        <v>1.3042135025441937E-2</v>
      </c>
      <c r="T31" s="24">
        <v>0.83030926859300624</v>
      </c>
      <c r="U31" s="24">
        <v>0.97629061474998535</v>
      </c>
      <c r="V31" s="24">
        <v>1.0296785309712269</v>
      </c>
      <c r="W31" s="24">
        <v>1.1156469876161463</v>
      </c>
      <c r="X31" s="25">
        <v>2.1268133889374E-3</v>
      </c>
      <c r="Y31" s="26">
        <v>-1.4380562724580996</v>
      </c>
      <c r="Z31" s="26">
        <v>-1.1280110813667E-3</v>
      </c>
      <c r="AA31" s="26">
        <v>45.477498691784405</v>
      </c>
      <c r="AB31" s="26">
        <v>58.706293706293714</v>
      </c>
      <c r="AC31" s="26">
        <v>21.153846153846153</v>
      </c>
      <c r="AD31" s="26">
        <v>70.769230769230774</v>
      </c>
      <c r="AE31" s="26">
        <v>46.44914014556872</v>
      </c>
      <c r="AF31" s="23">
        <v>2</v>
      </c>
      <c r="AG31" s="36">
        <v>4</v>
      </c>
    </row>
    <row r="32" spans="1:33">
      <c r="A32" s="22" t="s">
        <v>95</v>
      </c>
      <c r="B32" s="23">
        <v>27</v>
      </c>
      <c r="C32" s="23" t="s">
        <v>100</v>
      </c>
      <c r="D32" s="23" t="s">
        <v>101</v>
      </c>
      <c r="E32" s="23" t="s">
        <v>191</v>
      </c>
      <c r="F32" s="23">
        <v>11</v>
      </c>
      <c r="G32" s="23" t="s">
        <v>181</v>
      </c>
      <c r="H32" s="23">
        <v>500</v>
      </c>
      <c r="I32" s="23" t="s">
        <v>192</v>
      </c>
      <c r="J32" s="23" t="s">
        <v>183</v>
      </c>
      <c r="K32" s="23">
        <v>31</v>
      </c>
      <c r="L32" s="23">
        <v>5.0000000000000001E-3</v>
      </c>
      <c r="M32" s="23" t="s">
        <v>184</v>
      </c>
      <c r="N32" s="23">
        <v>43395</v>
      </c>
      <c r="O32" s="24">
        <v>-5.0501323449727003E-3</v>
      </c>
      <c r="P32" s="24">
        <v>-8.3899166585204004E-3</v>
      </c>
      <c r="Q32" s="24">
        <v>-4.0123428923365999E-3</v>
      </c>
      <c r="R32" s="24">
        <v>5.2005101376262353E-3</v>
      </c>
      <c r="S32" s="24">
        <v>1.2908021489008936E-2</v>
      </c>
      <c r="T32" s="24">
        <v>0.7541109015802745</v>
      </c>
      <c r="U32" s="24">
        <v>0.97286696444055876</v>
      </c>
      <c r="V32" s="24">
        <v>1.0453429206892149</v>
      </c>
      <c r="W32" s="24">
        <v>1.1144447489566902</v>
      </c>
      <c r="X32" s="25">
        <v>3.7790157451202998E-3</v>
      </c>
      <c r="Y32" s="26">
        <v>-0.9252039792154948</v>
      </c>
      <c r="Z32" s="26">
        <v>-1.2305928524902999E-3</v>
      </c>
      <c r="AA32" s="26">
        <v>51.816457352171639</v>
      </c>
      <c r="AB32" s="26">
        <v>45.795454545454547</v>
      </c>
      <c r="AC32" s="26">
        <v>42.307692307692307</v>
      </c>
      <c r="AD32" s="26">
        <v>52.884615384615387</v>
      </c>
      <c r="AE32" s="26">
        <v>48.516269444840873</v>
      </c>
      <c r="AF32" s="23">
        <v>2</v>
      </c>
      <c r="AG32" s="36">
        <v>4</v>
      </c>
    </row>
    <row r="33" spans="1:33">
      <c r="A33" s="22" t="s">
        <v>33</v>
      </c>
      <c r="B33" s="23">
        <v>36</v>
      </c>
      <c r="C33" s="23" t="s">
        <v>118</v>
      </c>
      <c r="D33" s="23" t="s">
        <v>119</v>
      </c>
      <c r="E33" s="23" t="s">
        <v>200</v>
      </c>
      <c r="F33" s="23">
        <v>3</v>
      </c>
      <c r="G33" s="23" t="s">
        <v>181</v>
      </c>
      <c r="H33" s="23">
        <v>500</v>
      </c>
      <c r="I33" s="23" t="s">
        <v>182</v>
      </c>
      <c r="J33" s="23" t="s">
        <v>183</v>
      </c>
      <c r="K33" s="23">
        <v>15</v>
      </c>
      <c r="L33" s="23">
        <v>6.0000000000000001E-3</v>
      </c>
      <c r="M33" s="23" t="s">
        <v>184</v>
      </c>
      <c r="N33" s="23">
        <v>43039</v>
      </c>
      <c r="O33" s="24">
        <v>-1.9419147276997001E-3</v>
      </c>
      <c r="P33" s="24">
        <v>-4.8530072930471997E-3</v>
      </c>
      <c r="Q33" s="24">
        <v>-4.5546195036744999E-3</v>
      </c>
      <c r="R33" s="24">
        <v>1.8409905088612177E-3</v>
      </c>
      <c r="S33" s="24">
        <v>7.4269961703967713E-3</v>
      </c>
      <c r="T33" s="24">
        <v>0.85776955403962374</v>
      </c>
      <c r="U33" s="24">
        <v>0.96919987741103641</v>
      </c>
      <c r="V33" s="24">
        <v>1.0160276769100041</v>
      </c>
      <c r="W33" s="24">
        <v>1.0655431070927504</v>
      </c>
      <c r="X33" s="25">
        <v>2.9961542959187001E-3</v>
      </c>
      <c r="Y33" s="26">
        <v>-1.3261805459499849</v>
      </c>
      <c r="Z33" s="26">
        <v>-4.0110056799813609E-4</v>
      </c>
      <c r="AA33" s="26">
        <v>31.510989010989011</v>
      </c>
      <c r="AB33" s="26">
        <v>65.01748251748252</v>
      </c>
      <c r="AC33" s="26">
        <v>26.923076923076923</v>
      </c>
      <c r="AD33" s="26">
        <v>68.84615384615384</v>
      </c>
      <c r="AE33" s="26">
        <v>42.703546453546451</v>
      </c>
      <c r="AF33" s="23">
        <v>2</v>
      </c>
      <c r="AG33" s="36">
        <v>4</v>
      </c>
    </row>
    <row r="34" spans="1:33">
      <c r="A34" s="22" t="s">
        <v>33</v>
      </c>
      <c r="B34" s="23">
        <v>38</v>
      </c>
      <c r="C34" s="23" t="s">
        <v>122</v>
      </c>
      <c r="D34" s="23" t="s">
        <v>123</v>
      </c>
      <c r="E34" s="23" t="s">
        <v>191</v>
      </c>
      <c r="F34" s="23">
        <v>11</v>
      </c>
      <c r="G34" s="23" t="s">
        <v>181</v>
      </c>
      <c r="H34" s="23">
        <v>100</v>
      </c>
      <c r="I34" s="23" t="s">
        <v>192</v>
      </c>
      <c r="J34" s="23" t="s">
        <v>183</v>
      </c>
      <c r="K34" s="23">
        <v>31</v>
      </c>
      <c r="L34" s="23">
        <v>6.0000000000000001E-3</v>
      </c>
      <c r="M34" s="23" t="s">
        <v>184</v>
      </c>
      <c r="N34" s="23">
        <v>43591</v>
      </c>
      <c r="O34" s="24">
        <v>-5.4371744651903996E-3</v>
      </c>
      <c r="P34" s="24">
        <v>-7.7372812527470997E-3</v>
      </c>
      <c r="Q34" s="24">
        <v>-5.3330847760637004E-3</v>
      </c>
      <c r="R34" s="24">
        <v>5.0430611111884627E-3</v>
      </c>
      <c r="S34" s="24">
        <v>8.2640718037183536E-3</v>
      </c>
      <c r="T34" s="24">
        <v>0.77323813943661168</v>
      </c>
      <c r="U34" s="24">
        <v>0.96393559006464102</v>
      </c>
      <c r="V34" s="24">
        <v>1.0439670768622411</v>
      </c>
      <c r="W34" s="24">
        <v>1.072982206783007</v>
      </c>
      <c r="X34" s="25">
        <v>4.9718171030279004E-3</v>
      </c>
      <c r="Y34" s="26">
        <v>-0.93468304641820998</v>
      </c>
      <c r="Z34" s="26">
        <v>-2.4993917445121001E-3</v>
      </c>
      <c r="AA34" s="26">
        <v>43.156070120355835</v>
      </c>
      <c r="AB34" s="26">
        <v>36.765734265734267</v>
      </c>
      <c r="AC34" s="26">
        <v>40.384615384615387</v>
      </c>
      <c r="AD34" s="26">
        <v>40.57692307692308</v>
      </c>
      <c r="AE34" s="26">
        <v>40.746280505209079</v>
      </c>
      <c r="AF34" s="23">
        <v>2</v>
      </c>
      <c r="AG34" s="36">
        <v>4</v>
      </c>
    </row>
    <row r="35" spans="1:33">
      <c r="A35" s="22" t="s">
        <v>33</v>
      </c>
      <c r="B35" s="23">
        <v>34</v>
      </c>
      <c r="C35" s="23" t="s">
        <v>113</v>
      </c>
      <c r="D35" s="23" t="s">
        <v>114</v>
      </c>
      <c r="E35" s="23" t="s">
        <v>180</v>
      </c>
      <c r="F35" s="23">
        <v>10</v>
      </c>
      <c r="G35" s="23" t="s">
        <v>181</v>
      </c>
      <c r="H35" s="23">
        <v>500</v>
      </c>
      <c r="I35" s="23" t="s">
        <v>192</v>
      </c>
      <c r="J35" s="23" t="s">
        <v>183</v>
      </c>
      <c r="K35" s="23">
        <v>31</v>
      </c>
      <c r="L35" s="23">
        <v>5.0000000000000001E-3</v>
      </c>
      <c r="M35" s="23" t="s">
        <v>184</v>
      </c>
      <c r="N35" s="23">
        <v>43187</v>
      </c>
      <c r="O35" s="24">
        <v>-9.9042179739687007E-3</v>
      </c>
      <c r="P35" s="24">
        <v>-8.7562374433358004E-3</v>
      </c>
      <c r="Q35" s="24">
        <v>-5.7403275451179004E-3</v>
      </c>
      <c r="R35" s="24">
        <v>5.1039811958726311E-3</v>
      </c>
      <c r="S35" s="24">
        <v>1.0916265768531774E-2</v>
      </c>
      <c r="T35" s="24">
        <v>0.74337488462363333</v>
      </c>
      <c r="U35" s="24">
        <v>0.96118165481270157</v>
      </c>
      <c r="V35" s="24">
        <v>1.0444993949193693</v>
      </c>
      <c r="W35" s="24">
        <v>1.0966219461152886</v>
      </c>
      <c r="X35" s="25">
        <v>9.3705504046319998E-3</v>
      </c>
      <c r="Y35" s="26">
        <v>-0.53063586551697894</v>
      </c>
      <c r="Z35" s="26">
        <v>-3.0525598039889E-3</v>
      </c>
      <c r="AA35" s="26">
        <v>46.039377289377285</v>
      </c>
      <c r="AB35" s="26">
        <v>26.372377622377623</v>
      </c>
      <c r="AC35" s="26">
        <v>53.846153846153847</v>
      </c>
      <c r="AD35" s="26">
        <v>52.884615384615387</v>
      </c>
      <c r="AE35" s="26">
        <v>43.368506493506494</v>
      </c>
      <c r="AF35" s="23">
        <v>2</v>
      </c>
      <c r="AG35" s="36">
        <v>4</v>
      </c>
    </row>
    <row r="36" spans="1:33">
      <c r="A36" s="22" t="s">
        <v>33</v>
      </c>
      <c r="B36" s="23">
        <v>31</v>
      </c>
      <c r="C36" s="23" t="s">
        <v>108</v>
      </c>
      <c r="D36" s="23" t="s">
        <v>109</v>
      </c>
      <c r="E36" s="23" t="s">
        <v>191</v>
      </c>
      <c r="F36" s="23">
        <v>6</v>
      </c>
      <c r="G36" s="23" t="s">
        <v>181</v>
      </c>
      <c r="H36" s="23">
        <v>1000</v>
      </c>
      <c r="I36" s="23" t="s">
        <v>192</v>
      </c>
      <c r="J36" s="23" t="s">
        <v>183</v>
      </c>
      <c r="K36" s="23">
        <v>31</v>
      </c>
      <c r="L36" s="23">
        <v>3.0000000000000001E-3</v>
      </c>
      <c r="M36" s="23" t="s">
        <v>184</v>
      </c>
      <c r="N36" s="23">
        <v>40946</v>
      </c>
      <c r="O36" s="24">
        <v>-1.4320515321691999E-3</v>
      </c>
      <c r="P36" s="24">
        <v>-1.5821940209100999E-3</v>
      </c>
      <c r="Q36" s="24">
        <v>-5.8017362890104996E-3</v>
      </c>
      <c r="R36" s="24">
        <v>3.3142914710393434E-3</v>
      </c>
      <c r="S36" s="24">
        <v>1.3965904439137145E-2</v>
      </c>
      <c r="T36" s="24">
        <v>0.95362954399176358</v>
      </c>
      <c r="U36" s="24">
        <v>0.96076638481300136</v>
      </c>
      <c r="V36" s="24">
        <v>1.0288730398613366</v>
      </c>
      <c r="W36" s="24">
        <v>1.1239353489079826</v>
      </c>
      <c r="X36" s="25">
        <v>3.8982926227122002E-3</v>
      </c>
      <c r="Y36" s="26">
        <v>-1.2985932456862022</v>
      </c>
      <c r="Z36" s="26">
        <v>-2.1809493954375999E-3</v>
      </c>
      <c r="AA36" s="26">
        <v>48.697671376242802</v>
      </c>
      <c r="AB36" s="26">
        <v>49.632867132867133</v>
      </c>
      <c r="AC36" s="26">
        <v>28.846153846153843</v>
      </c>
      <c r="AD36" s="26">
        <v>61.730769230769234</v>
      </c>
      <c r="AE36" s="26">
        <v>46.264476594833738</v>
      </c>
      <c r="AF36" s="23">
        <v>2</v>
      </c>
      <c r="AG36" s="36">
        <v>4</v>
      </c>
    </row>
    <row r="37" spans="1:33">
      <c r="A37" s="22" t="s">
        <v>33</v>
      </c>
      <c r="B37" s="23">
        <v>40</v>
      </c>
      <c r="C37" s="23" t="s">
        <v>126</v>
      </c>
      <c r="D37" s="23" t="s">
        <v>107</v>
      </c>
      <c r="E37" s="23" t="s">
        <v>180</v>
      </c>
      <c r="F37" s="23">
        <v>11</v>
      </c>
      <c r="G37" s="23" t="s">
        <v>181</v>
      </c>
      <c r="H37" s="23">
        <v>500</v>
      </c>
      <c r="I37" s="23" t="s">
        <v>192</v>
      </c>
      <c r="J37" s="23" t="s">
        <v>183</v>
      </c>
      <c r="K37" s="23">
        <v>31</v>
      </c>
      <c r="L37" s="23">
        <v>6.0000000000000001E-3</v>
      </c>
      <c r="M37" s="23" t="s">
        <v>184</v>
      </c>
      <c r="N37" s="23">
        <v>43612</v>
      </c>
      <c r="O37" s="24">
        <v>-5.5127727144076996E-3</v>
      </c>
      <c r="P37" s="24">
        <v>-7.0677190626534997E-3</v>
      </c>
      <c r="Q37" s="24">
        <v>-5.8939347160895002E-3</v>
      </c>
      <c r="R37" s="24">
        <v>2.5535478899179065E-3</v>
      </c>
      <c r="S37" s="24">
        <v>1.2538702053014994E-2</v>
      </c>
      <c r="T37" s="24">
        <v>0.79286146228462329</v>
      </c>
      <c r="U37" s="24">
        <v>0.96014290290540161</v>
      </c>
      <c r="V37" s="24">
        <v>1.0222382101104079</v>
      </c>
      <c r="W37" s="24">
        <v>1.1111354499468269</v>
      </c>
      <c r="X37" s="25">
        <v>7.9160025387004004E-3</v>
      </c>
      <c r="Y37" s="26">
        <v>-0.64672075673124074</v>
      </c>
      <c r="Z37" s="26">
        <v>-4.5086537877515997E-3</v>
      </c>
      <c r="AA37" s="26">
        <v>36.696101517530089</v>
      </c>
      <c r="AB37" s="26">
        <v>17.631118881118883</v>
      </c>
      <c r="AC37" s="26">
        <v>51.923076923076927</v>
      </c>
      <c r="AD37" s="26">
        <v>40.57692307692308</v>
      </c>
      <c r="AE37" s="26">
        <v>35.363333095475959</v>
      </c>
      <c r="AF37" s="23">
        <v>2</v>
      </c>
      <c r="AG37" s="36">
        <v>4</v>
      </c>
    </row>
    <row r="38" spans="1:33">
      <c r="A38" s="22" t="s">
        <v>33</v>
      </c>
      <c r="B38" s="23">
        <v>37</v>
      </c>
      <c r="C38" s="23" t="s">
        <v>120</v>
      </c>
      <c r="D38" s="23" t="s">
        <v>121</v>
      </c>
      <c r="E38" s="23" t="s">
        <v>180</v>
      </c>
      <c r="F38" s="23">
        <v>10</v>
      </c>
      <c r="G38" s="23" t="s">
        <v>181</v>
      </c>
      <c r="H38" s="23">
        <v>500</v>
      </c>
      <c r="I38" s="23" t="s">
        <v>201</v>
      </c>
      <c r="J38" s="23" t="s">
        <v>183</v>
      </c>
      <c r="K38" s="23">
        <v>11</v>
      </c>
      <c r="L38" s="23">
        <v>5.0000000000000001E-3</v>
      </c>
      <c r="M38" s="23" t="s">
        <v>184</v>
      </c>
      <c r="N38" s="23">
        <v>44498</v>
      </c>
      <c r="O38" s="24">
        <v>-1.0987237869386E-3</v>
      </c>
      <c r="P38" s="24">
        <v>-1.6458519771313999E-3</v>
      </c>
      <c r="Q38" s="24">
        <v>-7.1044635257753001E-3</v>
      </c>
      <c r="R38" s="24">
        <v>4.8532130315599442E-3</v>
      </c>
      <c r="S38" s="24">
        <v>6.4555755930202352E-3</v>
      </c>
      <c r="T38" s="24">
        <v>0.95176387617889224</v>
      </c>
      <c r="U38" s="24">
        <v>0.95195683254195762</v>
      </c>
      <c r="V38" s="24">
        <v>1.0423083726480569</v>
      </c>
      <c r="W38" s="24">
        <v>1.0569232916838376</v>
      </c>
      <c r="X38" s="25">
        <v>6.9089981466892002E-3</v>
      </c>
      <c r="Y38" s="26">
        <v>-0.89563835125954638</v>
      </c>
      <c r="Z38" s="26">
        <v>-6.3271516669069997E-3</v>
      </c>
      <c r="AA38" s="26">
        <v>41.536499215070641</v>
      </c>
      <c r="AB38" s="26">
        <v>23.610139860139864</v>
      </c>
      <c r="AC38" s="26">
        <v>44.230769230769226</v>
      </c>
      <c r="AD38" s="26">
        <v>84.615384615384613</v>
      </c>
      <c r="AE38" s="26">
        <v>41.901651919509064</v>
      </c>
      <c r="AF38" s="23">
        <v>2</v>
      </c>
      <c r="AG38" s="36">
        <v>4</v>
      </c>
    </row>
    <row r="39" spans="1:33">
      <c r="A39" s="22" t="s">
        <v>33</v>
      </c>
      <c r="B39" s="23">
        <v>41</v>
      </c>
      <c r="C39" s="23" t="s">
        <v>127</v>
      </c>
      <c r="D39" s="23" t="s">
        <v>94</v>
      </c>
      <c r="E39" s="23" t="s">
        <v>191</v>
      </c>
      <c r="F39" s="23">
        <v>4</v>
      </c>
      <c r="G39" s="23" t="s">
        <v>181</v>
      </c>
      <c r="H39" s="23">
        <v>1000</v>
      </c>
      <c r="I39" s="23" t="s">
        <v>188</v>
      </c>
      <c r="J39" s="23" t="s">
        <v>183</v>
      </c>
      <c r="K39" s="23">
        <v>30</v>
      </c>
      <c r="L39" s="23">
        <v>7.4999999999999997E-3</v>
      </c>
      <c r="M39" s="23" t="s">
        <v>184</v>
      </c>
      <c r="N39" s="23">
        <v>37134</v>
      </c>
      <c r="O39" s="24">
        <v>-3.8845405486659999E-3</v>
      </c>
      <c r="P39" s="24">
        <v>-3.2715290467274999E-3</v>
      </c>
      <c r="Q39" s="24">
        <v>-7.1828952309154004E-3</v>
      </c>
      <c r="R39" s="24">
        <v>8.9583962404526929E-4</v>
      </c>
      <c r="S39" s="24">
        <v>7.367663353443854E-3</v>
      </c>
      <c r="T39" s="24">
        <v>0.90411903234618685</v>
      </c>
      <c r="U39" s="24">
        <v>0.95142644660494857</v>
      </c>
      <c r="V39" s="24">
        <v>1.0077959272595451</v>
      </c>
      <c r="W39" s="24">
        <v>1.0650162157416654</v>
      </c>
      <c r="X39" s="25">
        <v>2.7124756736190002E-3</v>
      </c>
      <c r="Y39" s="26">
        <v>-2.3140898801489009</v>
      </c>
      <c r="Z39" s="26">
        <v>-7.1626440637118094E-4</v>
      </c>
      <c r="AA39" s="26">
        <v>24.765175300889585</v>
      </c>
      <c r="AB39" s="26">
        <v>66.599650349650346</v>
      </c>
      <c r="AC39" s="26">
        <v>5.7692307692307692</v>
      </c>
      <c r="AD39" s="26">
        <v>45.769230769230766</v>
      </c>
      <c r="AE39" s="26">
        <v>33.525010703582133</v>
      </c>
      <c r="AF39" s="23">
        <v>2</v>
      </c>
      <c r="AG39" s="36">
        <v>4</v>
      </c>
    </row>
    <row r="40" spans="1:33">
      <c r="A40" s="22" t="s">
        <v>33</v>
      </c>
      <c r="B40" s="23">
        <v>43</v>
      </c>
      <c r="C40" s="23" t="s">
        <v>130</v>
      </c>
      <c r="D40" s="23" t="s">
        <v>131</v>
      </c>
      <c r="E40" s="23" t="s">
        <v>202</v>
      </c>
      <c r="F40" s="23">
        <v>11</v>
      </c>
      <c r="G40" s="23" t="s">
        <v>181</v>
      </c>
      <c r="H40" s="23">
        <v>100</v>
      </c>
      <c r="I40" s="23" t="s">
        <v>201</v>
      </c>
      <c r="J40" s="23" t="s">
        <v>203</v>
      </c>
      <c r="K40" s="23">
        <v>12</v>
      </c>
      <c r="L40" s="23">
        <v>3.0999999999999999E-3</v>
      </c>
      <c r="M40" s="23" t="s">
        <v>184</v>
      </c>
      <c r="N40" s="23">
        <v>42607</v>
      </c>
      <c r="O40" s="24">
        <v>-5.2658926382965999E-3</v>
      </c>
      <c r="P40" s="24">
        <v>-7.1358774367531004E-3</v>
      </c>
      <c r="Q40" s="24">
        <v>-7.2454302414493004E-3</v>
      </c>
      <c r="R40" s="24">
        <v>8.2693434600211724E-4</v>
      </c>
      <c r="S40" s="24">
        <v>6.4639793227758702E-3</v>
      </c>
      <c r="T40" s="24">
        <v>0.79086389760797338</v>
      </c>
      <c r="U40" s="24">
        <v>0.95100356034870004</v>
      </c>
      <c r="V40" s="24">
        <v>1.0071960687500014</v>
      </c>
      <c r="W40" s="24">
        <v>1.0569978006238077</v>
      </c>
      <c r="X40" s="25">
        <v>2.3657837900190998E-3</v>
      </c>
      <c r="Y40" s="26">
        <v>-2.6767627410385666</v>
      </c>
      <c r="Z40" s="26">
        <v>-3.8159748004995553E-4</v>
      </c>
      <c r="AA40" s="26">
        <v>18.113553113553113</v>
      </c>
      <c r="AB40" s="26">
        <v>62.543706293706293</v>
      </c>
      <c r="AC40" s="26">
        <v>1.9230769230769231</v>
      </c>
      <c r="AD40" s="26">
        <v>91.538461538461547</v>
      </c>
      <c r="AE40" s="26">
        <v>33.325487012987018</v>
      </c>
      <c r="AF40" s="23">
        <v>2</v>
      </c>
      <c r="AG40" s="36">
        <v>4</v>
      </c>
    </row>
    <row r="41" spans="1:33">
      <c r="A41" s="22" t="s">
        <v>33</v>
      </c>
      <c r="B41" s="23">
        <v>44</v>
      </c>
      <c r="C41" s="23" t="s">
        <v>132</v>
      </c>
      <c r="D41" s="23" t="s">
        <v>48</v>
      </c>
      <c r="E41" s="23" t="s">
        <v>198</v>
      </c>
      <c r="F41" s="23">
        <v>13</v>
      </c>
      <c r="G41" s="23" t="s">
        <v>181</v>
      </c>
      <c r="H41" s="23">
        <v>1000</v>
      </c>
      <c r="I41" s="23" t="s">
        <v>192</v>
      </c>
      <c r="J41" s="23" t="s">
        <v>183</v>
      </c>
      <c r="K41" s="23">
        <v>31</v>
      </c>
      <c r="L41" s="23">
        <v>6.9999999999999993E-3</v>
      </c>
      <c r="M41" s="23" t="s">
        <v>184</v>
      </c>
      <c r="N41" s="23">
        <v>44861</v>
      </c>
      <c r="O41" s="24">
        <v>-4.0565435225872002E-3</v>
      </c>
      <c r="P41" s="24">
        <v>-7.8652566300154002E-3</v>
      </c>
      <c r="Q41" s="24">
        <v>-7.2595259367879998E-3</v>
      </c>
      <c r="R41" s="24">
        <v>4.0914234245061909E-3</v>
      </c>
      <c r="S41" s="24">
        <v>1.6822234458785834E-2</v>
      </c>
      <c r="T41" s="24">
        <v>0.76948747641846793</v>
      </c>
      <c r="U41" s="24">
        <v>0.95090823973101524</v>
      </c>
      <c r="V41" s="24">
        <v>1.0356554002027645</v>
      </c>
      <c r="W41" s="24">
        <v>1.1496449325599529</v>
      </c>
      <c r="X41" s="25">
        <v>3.7223658969845002E-3</v>
      </c>
      <c r="Y41" s="26">
        <v>-1.7034563271751757</v>
      </c>
      <c r="Z41" s="26">
        <v>-2.7642464667693E-3</v>
      </c>
      <c r="AA41" s="26">
        <v>42.373757195185767</v>
      </c>
      <c r="AB41" s="26">
        <v>32.77097902097902</v>
      </c>
      <c r="AC41" s="26">
        <v>13.461538461538462</v>
      </c>
      <c r="AD41" s="26">
        <v>30.576923076923073</v>
      </c>
      <c r="AE41" s="26">
        <v>33.01093549307835</v>
      </c>
      <c r="AF41" s="23">
        <v>2</v>
      </c>
      <c r="AG41" s="36">
        <v>4</v>
      </c>
    </row>
    <row r="42" spans="1:33">
      <c r="A42" s="22" t="s">
        <v>95</v>
      </c>
      <c r="B42" s="23">
        <v>32</v>
      </c>
      <c r="C42" s="23" t="s">
        <v>110</v>
      </c>
      <c r="D42" s="23" t="s">
        <v>109</v>
      </c>
      <c r="E42" s="23" t="s">
        <v>191</v>
      </c>
      <c r="F42" s="23">
        <v>10</v>
      </c>
      <c r="G42" s="23" t="s">
        <v>181</v>
      </c>
      <c r="H42" s="23">
        <v>500</v>
      </c>
      <c r="I42" s="23" t="s">
        <v>192</v>
      </c>
      <c r="J42" s="23" t="s">
        <v>183</v>
      </c>
      <c r="K42" s="23">
        <v>31</v>
      </c>
      <c r="L42" s="23">
        <v>3.4999999999999996E-3</v>
      </c>
      <c r="M42" s="23" t="s">
        <v>184</v>
      </c>
      <c r="N42" s="23">
        <v>43585</v>
      </c>
      <c r="O42" s="24">
        <v>-1.5033971988782E-3</v>
      </c>
      <c r="P42" s="24">
        <v>-1.8322120319984E-3</v>
      </c>
      <c r="Q42" s="24">
        <v>-7.2694225947111E-3</v>
      </c>
      <c r="R42" s="24">
        <v>4.5404408114757544E-3</v>
      </c>
      <c r="S42" s="24">
        <v>1.762040947791621E-2</v>
      </c>
      <c r="T42" s="24">
        <v>0.94630209297677037</v>
      </c>
      <c r="U42" s="24">
        <v>0.95084131465044397</v>
      </c>
      <c r="V42" s="24">
        <v>1.0395762841271072</v>
      </c>
      <c r="W42" s="24">
        <v>1.1568513251425678</v>
      </c>
      <c r="X42" s="25">
        <v>5.2645791380443001E-3</v>
      </c>
      <c r="Y42" s="26">
        <v>-1.2047816444308428</v>
      </c>
      <c r="Z42" s="26">
        <v>-2.4009558406706002E-3</v>
      </c>
      <c r="AA42" s="26">
        <v>50.871271585557295</v>
      </c>
      <c r="AB42" s="26">
        <v>41.599650349650354</v>
      </c>
      <c r="AC42" s="26">
        <v>32.692307692307693</v>
      </c>
      <c r="AD42" s="26">
        <v>60.192307692307686</v>
      </c>
      <c r="AE42" s="26">
        <v>45.849677108605682</v>
      </c>
      <c r="AF42" s="23">
        <v>2</v>
      </c>
      <c r="AG42" s="36">
        <v>4</v>
      </c>
    </row>
    <row r="43" spans="1:33">
      <c r="A43" s="22" t="s">
        <v>95</v>
      </c>
      <c r="B43" s="23">
        <v>39</v>
      </c>
      <c r="C43" s="23" t="s">
        <v>124</v>
      </c>
      <c r="D43" s="23" t="s">
        <v>125</v>
      </c>
      <c r="E43" s="23" t="s">
        <v>191</v>
      </c>
      <c r="F43" s="23">
        <v>3</v>
      </c>
      <c r="G43" s="23" t="s">
        <v>181</v>
      </c>
      <c r="H43" s="23">
        <v>500</v>
      </c>
      <c r="I43" s="23" t="s">
        <v>192</v>
      </c>
      <c r="J43" s="23" t="s">
        <v>183</v>
      </c>
      <c r="K43" s="23">
        <v>31</v>
      </c>
      <c r="L43" s="23">
        <v>5.0000000000000001E-3</v>
      </c>
      <c r="M43" s="23" t="s">
        <v>184</v>
      </c>
      <c r="N43" s="23">
        <v>44393</v>
      </c>
      <c r="O43" s="24">
        <v>-3.0872836035633002E-3</v>
      </c>
      <c r="P43" s="24">
        <v>-7.0816939444653003E-3</v>
      </c>
      <c r="Q43" s="24">
        <v>-7.5249474943103996E-3</v>
      </c>
      <c r="R43" s="24">
        <v>4.2622817913422484E-3</v>
      </c>
      <c r="S43" s="24">
        <v>7.8932623965060067E-3</v>
      </c>
      <c r="T43" s="24">
        <v>0.79245189074427591</v>
      </c>
      <c r="U43" s="24">
        <v>0.94911335510830441</v>
      </c>
      <c r="V43" s="24">
        <v>1.0371471769723983</v>
      </c>
      <c r="W43" s="24">
        <v>1.0696855193203949</v>
      </c>
      <c r="X43" s="25">
        <v>4.7315142684978004E-3</v>
      </c>
      <c r="Y43" s="26">
        <v>-1.3884551952841799</v>
      </c>
      <c r="Z43" s="26">
        <v>-8.933580047507661E-4</v>
      </c>
      <c r="AA43" s="26">
        <v>32.301151229722656</v>
      </c>
      <c r="AB43" s="26">
        <v>55.777972027972034</v>
      </c>
      <c r="AC43" s="26">
        <v>23.076923076923077</v>
      </c>
      <c r="AD43" s="26">
        <v>52.884615384615387</v>
      </c>
      <c r="AE43" s="26">
        <v>38.383857214214359</v>
      </c>
      <c r="AF43" s="23">
        <v>2</v>
      </c>
      <c r="AG43" s="36">
        <v>4</v>
      </c>
    </row>
    <row r="44" spans="1:33">
      <c r="A44" s="22" t="s">
        <v>33</v>
      </c>
      <c r="B44" s="23">
        <v>42</v>
      </c>
      <c r="C44" s="23" t="s">
        <v>128</v>
      </c>
      <c r="D44" s="23" t="s">
        <v>129</v>
      </c>
      <c r="E44" s="23" t="s">
        <v>180</v>
      </c>
      <c r="F44" s="23">
        <v>2</v>
      </c>
      <c r="G44" s="23" t="s">
        <v>181</v>
      </c>
      <c r="H44" s="23">
        <v>500</v>
      </c>
      <c r="I44" s="23" t="s">
        <v>192</v>
      </c>
      <c r="J44" s="23" t="s">
        <v>183</v>
      </c>
      <c r="K44" s="23">
        <v>31</v>
      </c>
      <c r="L44" s="23">
        <v>5.7999999999999996E-3</v>
      </c>
      <c r="M44" s="23" t="s">
        <v>184</v>
      </c>
      <c r="N44" s="23">
        <v>44862</v>
      </c>
      <c r="O44" s="24">
        <v>-3.2062011648180998E-3</v>
      </c>
      <c r="P44" s="24">
        <v>-8.9712498477747E-3</v>
      </c>
      <c r="Q44" s="24">
        <v>-8.4619294066744996E-3</v>
      </c>
      <c r="R44" s="24">
        <v>3.4184141241089261E-3</v>
      </c>
      <c r="S44" s="24">
        <v>1.2451322160806022E-2</v>
      </c>
      <c r="T44" s="24">
        <v>0.73707336716781413</v>
      </c>
      <c r="U44" s="24">
        <v>0.942777116100595</v>
      </c>
      <c r="V44" s="24">
        <v>1.0297814927708298</v>
      </c>
      <c r="W44" s="24">
        <v>1.1103527808572553</v>
      </c>
      <c r="X44" s="25">
        <v>5.0000216474814004E-3</v>
      </c>
      <c r="Y44" s="26">
        <v>-1.4781131898955775</v>
      </c>
      <c r="Z44" s="26">
        <v>-3.6213204346099998E-3</v>
      </c>
      <c r="AA44" s="26">
        <v>32.550366300366299</v>
      </c>
      <c r="AB44" s="26">
        <v>42.47377622377622</v>
      </c>
      <c r="AC44" s="26">
        <v>17.307692307692307</v>
      </c>
      <c r="AD44" s="26">
        <v>46.346153846153847</v>
      </c>
      <c r="AE44" s="26">
        <v>33.362262737262739</v>
      </c>
      <c r="AF44" s="23">
        <v>2</v>
      </c>
      <c r="AG44" s="36">
        <v>4</v>
      </c>
    </row>
    <row r="45" spans="1:33">
      <c r="A45" s="22" t="s">
        <v>33</v>
      </c>
      <c r="B45" s="23">
        <v>45</v>
      </c>
      <c r="C45" s="23" t="s">
        <v>133</v>
      </c>
      <c r="D45" s="23" t="s">
        <v>97</v>
      </c>
      <c r="E45" s="23" t="s">
        <v>191</v>
      </c>
      <c r="F45" s="23">
        <v>11</v>
      </c>
      <c r="G45" s="23" t="s">
        <v>181</v>
      </c>
      <c r="H45" s="23">
        <v>1000</v>
      </c>
      <c r="I45" s="23" t="s">
        <v>197</v>
      </c>
      <c r="J45" s="23" t="s">
        <v>183</v>
      </c>
      <c r="K45" s="23">
        <v>46</v>
      </c>
      <c r="L45" s="23">
        <v>6.0000000000000001E-3</v>
      </c>
      <c r="M45" s="23" t="s">
        <v>184</v>
      </c>
      <c r="N45" s="23">
        <v>42535</v>
      </c>
      <c r="O45" s="24">
        <v>-2.0155299123568999E-3</v>
      </c>
      <c r="P45" s="24">
        <v>-2.8164993580602998E-3</v>
      </c>
      <c r="Q45" s="24">
        <v>-8.6809511442281998E-3</v>
      </c>
      <c r="R45" s="24">
        <v>3.1527825320516456E-3</v>
      </c>
      <c r="S45" s="24">
        <v>1.2416995906666006E-2</v>
      </c>
      <c r="T45" s="24">
        <v>0.91745490258834839</v>
      </c>
      <c r="U45" s="24">
        <v>0.94129600525020241</v>
      </c>
      <c r="V45" s="24">
        <v>1.0274640662103909</v>
      </c>
      <c r="W45" s="24">
        <v>1.1100453492345006</v>
      </c>
      <c r="X45" s="25">
        <v>6.7702761129396997E-3</v>
      </c>
      <c r="Y45" s="26">
        <v>-1.1185004693349614</v>
      </c>
      <c r="Z45" s="26">
        <v>-4.1982158015927001E-3</v>
      </c>
      <c r="AA45" s="26">
        <v>34.756671899529046</v>
      </c>
      <c r="AB45" s="26">
        <v>23.47902097902098</v>
      </c>
      <c r="AC45" s="26">
        <v>34.615384615384613</v>
      </c>
      <c r="AD45" s="26">
        <v>23.26923076923077</v>
      </c>
      <c r="AE45" s="26">
        <v>30.760257599543316</v>
      </c>
      <c r="AF45" s="23">
        <v>2</v>
      </c>
      <c r="AG45" s="36">
        <v>4</v>
      </c>
    </row>
    <row r="46" spans="1:33">
      <c r="A46" s="22" t="s">
        <v>33</v>
      </c>
      <c r="B46" s="23">
        <v>46</v>
      </c>
      <c r="C46" s="23" t="s">
        <v>134</v>
      </c>
      <c r="D46" s="23" t="s">
        <v>135</v>
      </c>
      <c r="E46" s="23" t="s">
        <v>191</v>
      </c>
      <c r="F46" s="23">
        <v>11</v>
      </c>
      <c r="G46" s="23" t="s">
        <v>181</v>
      </c>
      <c r="H46" s="23">
        <v>1000</v>
      </c>
      <c r="I46" s="23" t="s">
        <v>182</v>
      </c>
      <c r="J46" s="23" t="s">
        <v>183</v>
      </c>
      <c r="K46" s="23">
        <v>15</v>
      </c>
      <c r="L46" s="23">
        <v>5.0000000000000001E-3</v>
      </c>
      <c r="M46" s="23" t="s">
        <v>184</v>
      </c>
      <c r="N46" s="23">
        <v>39829</v>
      </c>
      <c r="O46" s="24">
        <v>-4.7531815511511998E-3</v>
      </c>
      <c r="P46" s="24">
        <v>-6.8151973681488997E-3</v>
      </c>
      <c r="Q46" s="24">
        <v>-1.0491871020116899E-2</v>
      </c>
      <c r="R46" s="24">
        <v>4.2091686697065533E-4</v>
      </c>
      <c r="S46" s="24">
        <v>7.8289418867780736E-3</v>
      </c>
      <c r="T46" s="24">
        <v>0.8002622904835669</v>
      </c>
      <c r="U46" s="24">
        <v>0.92904985513136962</v>
      </c>
      <c r="V46" s="24">
        <v>1.0036622045396306</v>
      </c>
      <c r="W46" s="24">
        <v>1.0691138872534158</v>
      </c>
      <c r="X46" s="25">
        <v>1.0950841470491E-2</v>
      </c>
      <c r="Y46" s="26">
        <v>-0.83348932414453203</v>
      </c>
      <c r="Z46" s="26">
        <v>-5.4411072013414996E-3</v>
      </c>
      <c r="AA46" s="26">
        <v>16.913265306122447</v>
      </c>
      <c r="AB46" s="26">
        <v>11.713286713286717</v>
      </c>
      <c r="AC46" s="26">
        <v>46.153846153846153</v>
      </c>
      <c r="AD46" s="26">
        <v>81.15384615384616</v>
      </c>
      <c r="AE46" s="26">
        <v>27.885444912230628</v>
      </c>
      <c r="AF46" s="23">
        <v>2</v>
      </c>
      <c r="AG46" s="36">
        <v>4</v>
      </c>
    </row>
    <row r="47" spans="1:33">
      <c r="A47" s="22" t="s">
        <v>33</v>
      </c>
      <c r="B47" s="23">
        <v>52</v>
      </c>
      <c r="C47" s="23" t="s">
        <v>147</v>
      </c>
      <c r="D47" s="23" t="s">
        <v>94</v>
      </c>
      <c r="E47" s="23" t="s">
        <v>191</v>
      </c>
      <c r="F47" s="23">
        <v>13</v>
      </c>
      <c r="G47" s="23" t="s">
        <v>181</v>
      </c>
      <c r="H47" s="23">
        <v>5000</v>
      </c>
      <c r="I47" s="23" t="s">
        <v>197</v>
      </c>
      <c r="J47" s="23" t="s">
        <v>183</v>
      </c>
      <c r="K47" s="23">
        <v>46</v>
      </c>
      <c r="L47" s="23">
        <v>7.4999999999999997E-3</v>
      </c>
      <c r="M47" s="23" t="s">
        <v>184</v>
      </c>
      <c r="N47" s="23">
        <v>42552</v>
      </c>
      <c r="O47" s="24">
        <v>-5.5961789594525004E-3</v>
      </c>
      <c r="P47" s="24">
        <v>-4.9728697932671E-3</v>
      </c>
      <c r="Q47" s="24">
        <v>-1.2165244501367099E-2</v>
      </c>
      <c r="R47" s="24">
        <v>-3.5422745128270705E-3</v>
      </c>
      <c r="S47" s="24">
        <v>7.1755212712658611E-3</v>
      </c>
      <c r="T47" s="24">
        <v>0.85425666072816608</v>
      </c>
      <c r="U47" s="24">
        <v>0.91773384765411603</v>
      </c>
      <c r="V47" s="24">
        <v>0.96923434100906003</v>
      </c>
      <c r="W47" s="24">
        <v>1.0633103057280759</v>
      </c>
      <c r="X47" s="25">
        <v>5.7765024305693998E-3</v>
      </c>
      <c r="Y47" s="26">
        <v>-1.8425661799098965</v>
      </c>
      <c r="Z47" s="26">
        <v>-2.9162324727315999E-3</v>
      </c>
      <c r="AA47" s="26">
        <v>13.500130821559392</v>
      </c>
      <c r="AB47" s="26">
        <v>23.32167832167832</v>
      </c>
      <c r="AC47" s="26">
        <v>11.538461538461538</v>
      </c>
      <c r="AD47" s="26">
        <v>10.576923076923078</v>
      </c>
      <c r="AE47" s="26">
        <v>15.270863065505921</v>
      </c>
      <c r="AF47" s="23">
        <v>1</v>
      </c>
      <c r="AG47" s="36">
        <v>4</v>
      </c>
    </row>
    <row r="48" spans="1:33">
      <c r="A48" s="22" t="s">
        <v>33</v>
      </c>
      <c r="B48" s="23">
        <v>47</v>
      </c>
      <c r="C48" s="23" t="s">
        <v>136</v>
      </c>
      <c r="D48" s="23" t="s">
        <v>125</v>
      </c>
      <c r="E48" s="23" t="s">
        <v>191</v>
      </c>
      <c r="F48" s="23">
        <v>5</v>
      </c>
      <c r="G48" s="23" t="s">
        <v>181</v>
      </c>
      <c r="H48" s="23">
        <v>500</v>
      </c>
      <c r="I48" s="23" t="s">
        <v>204</v>
      </c>
      <c r="J48" s="23" t="s">
        <v>183</v>
      </c>
      <c r="K48" s="23">
        <v>61</v>
      </c>
      <c r="L48" s="23">
        <v>6.9999999999999993E-3</v>
      </c>
      <c r="M48" s="23" t="s">
        <v>184</v>
      </c>
      <c r="N48" s="23">
        <v>43866</v>
      </c>
      <c r="O48" s="24">
        <v>-4.1488465221026002E-3</v>
      </c>
      <c r="P48" s="24">
        <v>-1.16532135562339E-2</v>
      </c>
      <c r="Q48" s="24">
        <v>-1.3086603817233E-2</v>
      </c>
      <c r="R48" s="24">
        <v>4.7475312787412793E-3</v>
      </c>
      <c r="S48" s="24">
        <v>3.7337826088417181E-3</v>
      </c>
      <c r="T48" s="24">
        <v>0.65847119921925268</v>
      </c>
      <c r="U48" s="24">
        <v>0.91150325476830862</v>
      </c>
      <c r="V48" s="24">
        <v>1.0413851504914662</v>
      </c>
      <c r="W48" s="24">
        <v>1.0328471884414818</v>
      </c>
      <c r="X48" s="25">
        <v>8.8856153522801993E-3</v>
      </c>
      <c r="Y48" s="26">
        <v>-1.2866758408302257</v>
      </c>
      <c r="Z48" s="26">
        <v>-1.9808393469030999E-3</v>
      </c>
      <c r="AA48" s="26">
        <v>24.127420198848771</v>
      </c>
      <c r="AB48" s="26">
        <v>37.08916083916084</v>
      </c>
      <c r="AC48" s="26">
        <v>30.76923076923077</v>
      </c>
      <c r="AD48" s="26">
        <v>9.2307692307692335</v>
      </c>
      <c r="AE48" s="26">
        <v>27.206552376195237</v>
      </c>
      <c r="AF48" s="23">
        <v>2</v>
      </c>
      <c r="AG48" s="36">
        <v>4</v>
      </c>
    </row>
    <row r="49" spans="1:33">
      <c r="A49" s="22" t="s">
        <v>95</v>
      </c>
      <c r="B49" s="23">
        <v>48</v>
      </c>
      <c r="C49" s="23" t="s">
        <v>137</v>
      </c>
      <c r="D49" s="23" t="s">
        <v>138</v>
      </c>
      <c r="E49" s="23" t="s">
        <v>191</v>
      </c>
      <c r="F49" s="23">
        <v>13</v>
      </c>
      <c r="G49" s="23" t="s">
        <v>181</v>
      </c>
      <c r="H49" s="23">
        <v>500</v>
      </c>
      <c r="I49" s="23" t="s">
        <v>205</v>
      </c>
      <c r="J49" s="23" t="s">
        <v>183</v>
      </c>
      <c r="K49" s="23">
        <v>45</v>
      </c>
      <c r="L49" s="23">
        <v>8.0000000000000002E-3</v>
      </c>
      <c r="M49" s="23" t="s">
        <v>184</v>
      </c>
      <c r="N49" s="23">
        <v>43733</v>
      </c>
      <c r="O49" s="24">
        <v>-1.81317568042377E-2</v>
      </c>
      <c r="P49" s="24">
        <v>-1.8203973966466499E-2</v>
      </c>
      <c r="Q49" s="24">
        <v>-1.4870853663332601E-2</v>
      </c>
      <c r="R49" s="24">
        <v>1.7041566314863754E-3</v>
      </c>
      <c r="S49" s="24">
        <v>2.0569186902265724E-2</v>
      </c>
      <c r="T49" s="24">
        <v>0.46648352677915561</v>
      </c>
      <c r="U49" s="24">
        <v>0.89943745784611329</v>
      </c>
      <c r="V49" s="24">
        <v>1.0148355026168769</v>
      </c>
      <c r="W49" s="24">
        <v>1.1835584292344761</v>
      </c>
      <c r="X49" s="25">
        <v>8.1035881999098995E-3</v>
      </c>
      <c r="Y49" s="26">
        <v>-1.6059331279977884</v>
      </c>
      <c r="Z49" s="26">
        <v>-1.0210292390875E-2</v>
      </c>
      <c r="AA49" s="26">
        <v>30.93995290423862</v>
      </c>
      <c r="AB49" s="26">
        <v>6.8531468531468533</v>
      </c>
      <c r="AC49" s="26">
        <v>15.384615384615385</v>
      </c>
      <c r="AD49" s="26">
        <v>11.73076923076923</v>
      </c>
      <c r="AE49" s="26">
        <v>19.886265520194094</v>
      </c>
      <c r="AF49" s="23">
        <v>2</v>
      </c>
      <c r="AG49" s="36">
        <v>4</v>
      </c>
    </row>
    <row r="50" spans="1:33">
      <c r="A50" s="22" t="s">
        <v>33</v>
      </c>
      <c r="B50" s="23">
        <v>51</v>
      </c>
      <c r="C50" s="23" t="s">
        <v>145</v>
      </c>
      <c r="D50" s="23" t="s">
        <v>146</v>
      </c>
      <c r="E50" s="23" t="s">
        <v>206</v>
      </c>
      <c r="F50" s="23">
        <v>13</v>
      </c>
      <c r="G50" s="23" t="s">
        <v>181</v>
      </c>
      <c r="H50" s="23">
        <v>500</v>
      </c>
      <c r="I50" s="23" t="s">
        <v>195</v>
      </c>
      <c r="J50" s="23" t="s">
        <v>183</v>
      </c>
      <c r="K50" s="23">
        <v>16</v>
      </c>
      <c r="L50" s="23">
        <v>6.0000000000000001E-3</v>
      </c>
      <c r="M50" s="23" t="s">
        <v>184</v>
      </c>
      <c r="N50" s="23">
        <v>45729</v>
      </c>
      <c r="O50" s="24">
        <v>-1.1738520490233601E-2</v>
      </c>
      <c r="P50" s="24">
        <v>-1.20376765028067E-2</v>
      </c>
      <c r="Q50" s="24">
        <v>-1.7088635319495001E-2</v>
      </c>
      <c r="R50" s="24" t="s">
        <v>185</v>
      </c>
      <c r="S50" s="24" t="s">
        <v>185</v>
      </c>
      <c r="T50" s="24">
        <v>0.64720347736261541</v>
      </c>
      <c r="U50" s="24">
        <v>0.88443994887083066</v>
      </c>
      <c r="V50" s="24" t="s">
        <v>185</v>
      </c>
      <c r="W50" s="24" t="s">
        <v>185</v>
      </c>
      <c r="X50" s="25">
        <v>1.01216428022171E-2</v>
      </c>
      <c r="Y50" s="26">
        <v>-1.4776053339191968</v>
      </c>
      <c r="Z50" s="26">
        <v>-4.4950419300641004E-3</v>
      </c>
      <c r="AA50" s="26">
        <v>6.3461538461538458</v>
      </c>
      <c r="AB50" s="26">
        <v>8.2342657342657333</v>
      </c>
      <c r="AC50" s="26">
        <v>19.230769230769234</v>
      </c>
      <c r="AD50" s="26">
        <v>65.384615384615387</v>
      </c>
      <c r="AE50" s="26">
        <v>15.298951048951048</v>
      </c>
      <c r="AF50" s="23">
        <v>0</v>
      </c>
      <c r="AG50" s="36">
        <v>2</v>
      </c>
    </row>
    <row r="51" spans="1:33">
      <c r="A51" s="22" t="s">
        <v>95</v>
      </c>
      <c r="B51" s="23">
        <v>50</v>
      </c>
      <c r="C51" s="23" t="s">
        <v>142</v>
      </c>
      <c r="D51" s="23" t="s">
        <v>143</v>
      </c>
      <c r="E51" s="23" t="s">
        <v>198</v>
      </c>
      <c r="F51" s="23">
        <v>11</v>
      </c>
      <c r="G51" s="23" t="s">
        <v>181</v>
      </c>
      <c r="H51" s="23">
        <v>1000</v>
      </c>
      <c r="I51" s="23" t="s">
        <v>192</v>
      </c>
      <c r="J51" s="23" t="s">
        <v>183</v>
      </c>
      <c r="K51" s="23">
        <v>31</v>
      </c>
      <c r="L51" s="23">
        <v>6.0000000000000001E-3</v>
      </c>
      <c r="M51" s="23" t="s">
        <v>184</v>
      </c>
      <c r="N51" s="23">
        <v>43830</v>
      </c>
      <c r="O51" s="24">
        <v>-1.1274394892275901E-2</v>
      </c>
      <c r="P51" s="24">
        <v>-1.4126236907211201E-2</v>
      </c>
      <c r="Q51" s="24">
        <v>-1.79899118894335E-2</v>
      </c>
      <c r="R51" s="24">
        <v>-6.0622078564942505E-5</v>
      </c>
      <c r="S51" s="24">
        <v>1.0868516216421042E-2</v>
      </c>
      <c r="T51" s="24">
        <v>0.5859925910408037</v>
      </c>
      <c r="U51" s="24">
        <v>0.87834516338583635</v>
      </c>
      <c r="V51" s="24">
        <v>0.99947266748014962</v>
      </c>
      <c r="W51" s="24">
        <v>1.0961954040933777</v>
      </c>
      <c r="X51" s="25">
        <v>6.6295612778650998E-3</v>
      </c>
      <c r="Y51" s="26">
        <v>-2.3806561557073498</v>
      </c>
      <c r="Z51" s="26">
        <v>-4.3796552676547001E-3</v>
      </c>
      <c r="AA51" s="26">
        <v>13.759811616954476</v>
      </c>
      <c r="AB51" s="26">
        <v>23.54895104895105</v>
      </c>
      <c r="AC51" s="26">
        <v>3.8461538461538463</v>
      </c>
      <c r="AD51" s="26">
        <v>40.57692307692308</v>
      </c>
      <c r="AE51" s="26">
        <v>16.906076066790355</v>
      </c>
      <c r="AF51" s="23">
        <v>1</v>
      </c>
      <c r="AG51" s="36">
        <v>4</v>
      </c>
    </row>
    <row r="52" spans="1:33">
      <c r="A52" s="22" t="s">
        <v>33</v>
      </c>
      <c r="B52" s="23">
        <v>49</v>
      </c>
      <c r="C52" s="23" t="s">
        <v>139</v>
      </c>
      <c r="D52" s="23" t="s">
        <v>140</v>
      </c>
      <c r="E52" s="23" t="s">
        <v>140</v>
      </c>
      <c r="F52" s="23">
        <v>10</v>
      </c>
      <c r="G52" s="23" t="s">
        <v>181</v>
      </c>
      <c r="H52" s="23">
        <v>500</v>
      </c>
      <c r="I52" s="23" t="s">
        <v>190</v>
      </c>
      <c r="J52" s="23" t="s">
        <v>183</v>
      </c>
      <c r="K52" s="23">
        <v>10</v>
      </c>
      <c r="L52" s="23">
        <v>5.0000000000000001E-3</v>
      </c>
      <c r="M52" s="23" t="s">
        <v>184</v>
      </c>
      <c r="N52" s="23">
        <v>44694</v>
      </c>
      <c r="O52" s="24">
        <v>-8.6571410204915999E-3</v>
      </c>
      <c r="P52" s="24">
        <v>-1.26944049230957E-2</v>
      </c>
      <c r="Q52" s="24">
        <v>-2.6230708333162701E-2</v>
      </c>
      <c r="R52" s="24">
        <v>-9.0739176388080489E-3</v>
      </c>
      <c r="S52" s="24">
        <v>-1.4200381173037346E-3</v>
      </c>
      <c r="T52" s="24">
        <v>0.62795628269501758</v>
      </c>
      <c r="U52" s="24">
        <v>0.82261766727056629</v>
      </c>
      <c r="V52" s="24">
        <v>0.9213837402581786</v>
      </c>
      <c r="W52" s="24">
        <v>0.98756223915210983</v>
      </c>
      <c r="X52" s="25">
        <v>6.5844892196734997E-3</v>
      </c>
      <c r="Y52" s="26">
        <v>-3.5092550729875129</v>
      </c>
      <c r="Z52" s="26">
        <v>-3.6221402369432001E-3</v>
      </c>
      <c r="AA52" s="26">
        <v>2.6268969126111985</v>
      </c>
      <c r="AB52" s="26">
        <v>31.774475524475527</v>
      </c>
      <c r="AC52" s="26">
        <v>0</v>
      </c>
      <c r="AD52" s="26">
        <v>87.5</v>
      </c>
      <c r="AE52" s="26">
        <v>17.875722491793923</v>
      </c>
      <c r="AF52" s="23">
        <v>0</v>
      </c>
      <c r="AG52" s="36">
        <v>4</v>
      </c>
    </row>
    <row r="53" spans="1:33">
      <c r="A53" s="22" t="s">
        <v>33</v>
      </c>
      <c r="B53" s="23">
        <v>53</v>
      </c>
      <c r="C53" s="23" t="s">
        <v>148</v>
      </c>
      <c r="D53" s="23" t="s">
        <v>149</v>
      </c>
      <c r="E53" s="23" t="s">
        <v>191</v>
      </c>
      <c r="F53" s="23">
        <v>10</v>
      </c>
      <c r="G53" s="23" t="s">
        <v>181</v>
      </c>
      <c r="H53" s="23">
        <v>1000</v>
      </c>
      <c r="I53" s="23" t="s">
        <v>205</v>
      </c>
      <c r="J53" s="23" t="s">
        <v>183</v>
      </c>
      <c r="K53" s="23">
        <v>45</v>
      </c>
      <c r="L53" s="23">
        <v>5.5000000000000005E-3</v>
      </c>
      <c r="M53" s="23" t="s">
        <v>184</v>
      </c>
      <c r="N53" s="23">
        <v>41949</v>
      </c>
      <c r="O53" s="24">
        <v>-2.1387824198223201E-2</v>
      </c>
      <c r="P53" s="24">
        <v>-2.31752391981663E-2</v>
      </c>
      <c r="Q53" s="24">
        <v>-4.35410709428036E-2</v>
      </c>
      <c r="R53" s="24">
        <v>-2.7522680161700674E-2</v>
      </c>
      <c r="S53" s="24">
        <v>-1.6354122706192631E-2</v>
      </c>
      <c r="T53" s="24">
        <v>0.32078721350450662</v>
      </c>
      <c r="U53" s="24">
        <v>0.70555820928374324</v>
      </c>
      <c r="V53" s="24">
        <v>0.76350067903824659</v>
      </c>
      <c r="W53" s="24">
        <v>0.8585749478788951</v>
      </c>
      <c r="X53" s="25">
        <v>1.8893781741770799E-2</v>
      </c>
      <c r="Y53" s="26">
        <v>-2.038253381896455</v>
      </c>
      <c r="Z53" s="26">
        <v>-1.2329056648808999E-2</v>
      </c>
      <c r="AA53" s="26">
        <v>0</v>
      </c>
      <c r="AB53" s="26">
        <v>14.230769230769234</v>
      </c>
      <c r="AC53" s="26">
        <v>9.6153846153846168</v>
      </c>
      <c r="AD53" s="26">
        <v>33.269230769230774</v>
      </c>
      <c r="AE53" s="26">
        <v>8.8076923076923084</v>
      </c>
      <c r="AF53" s="23">
        <v>0</v>
      </c>
      <c r="AG53" s="36">
        <v>4</v>
      </c>
    </row>
    <row r="54" spans="1:33">
      <c r="A54" s="28" t="s">
        <v>95</v>
      </c>
      <c r="B54" s="29">
        <v>25</v>
      </c>
      <c r="C54" s="29" t="s">
        <v>96</v>
      </c>
      <c r="D54" s="29" t="s">
        <v>97</v>
      </c>
      <c r="E54" s="29" t="s">
        <v>191</v>
      </c>
      <c r="F54" s="29">
        <v>13</v>
      </c>
      <c r="G54" s="29" t="s">
        <v>207</v>
      </c>
      <c r="H54" s="29">
        <v>1000</v>
      </c>
      <c r="I54" s="29" t="s">
        <v>197</v>
      </c>
      <c r="J54" s="29" t="s">
        <v>183</v>
      </c>
      <c r="K54" s="29">
        <v>46</v>
      </c>
      <c r="L54" s="29">
        <v>1.1000000000000001E-2</v>
      </c>
      <c r="M54" s="29" t="s">
        <v>184</v>
      </c>
      <c r="N54" s="29">
        <v>43089</v>
      </c>
      <c r="O54" s="30">
        <v>-5.0470963765608997E-3</v>
      </c>
      <c r="P54" s="30">
        <v>-4.3677805393367002E-3</v>
      </c>
      <c r="Q54" s="30">
        <v>3.6377315754669998E-4</v>
      </c>
      <c r="R54" s="30">
        <v>8.2654523070886388E-3</v>
      </c>
      <c r="S54" s="30">
        <v>1.6637195089618029E-2</v>
      </c>
      <c r="T54" s="30">
        <v>0.87199043058168668</v>
      </c>
      <c r="U54" s="30">
        <v>1.0024599766979383</v>
      </c>
      <c r="V54" s="30">
        <v>1.0721634399755926</v>
      </c>
      <c r="W54" s="30">
        <v>1.1479756671101722</v>
      </c>
      <c r="X54" s="31">
        <v>7.6064925281170998E-3</v>
      </c>
      <c r="Y54" s="32">
        <v>4.54660396034198E-2</v>
      </c>
      <c r="Z54" s="32">
        <v>-2.6436397616055002E-3</v>
      </c>
      <c r="AA54" s="32">
        <v>73.959968602825739</v>
      </c>
      <c r="AB54" s="32">
        <v>19.720279720279716</v>
      </c>
      <c r="AC54" s="32">
        <v>65.384615384615387</v>
      </c>
      <c r="AD54" s="32">
        <v>5.1923076923076943</v>
      </c>
      <c r="AE54" s="32">
        <v>51.80820964749536</v>
      </c>
      <c r="AF54" s="29">
        <v>3</v>
      </c>
      <c r="AG54" s="37">
        <v>4</v>
      </c>
    </row>
  </sheetData>
  <conditionalFormatting sqref="A2:A54">
    <cfRule type="expression" dxfId="0" priority="1">
      <formula>$A2="Cliente"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6" sqref="B6"/>
    </sheetView>
  </sheetViews>
  <sheetFormatPr defaultRowHeight="14.25"/>
  <cols>
    <col min="1" max="1" width="24" customWidth="1"/>
    <col min="2" max="2" width="110" customWidth="1"/>
  </cols>
  <sheetData>
    <row r="1" spans="1:2" ht="15" customHeight="1">
      <c r="A1" s="38" t="s">
        <v>208</v>
      </c>
      <c r="B1" s="39" t="s">
        <v>209</v>
      </c>
    </row>
    <row r="2" spans="1:2" ht="26.45" customHeight="1">
      <c r="A2" s="22" t="s">
        <v>210</v>
      </c>
      <c r="B2" s="34" t="s">
        <v>211</v>
      </c>
    </row>
    <row r="3" spans="1:2" ht="15" customHeight="1">
      <c r="A3" s="22" t="s">
        <v>178</v>
      </c>
      <c r="B3" s="34" t="s">
        <v>212</v>
      </c>
    </row>
    <row r="4" spans="1:2" ht="26.45" customHeight="1">
      <c r="A4" s="22" t="s">
        <v>66</v>
      </c>
      <c r="B4" s="34" t="s">
        <v>213</v>
      </c>
    </row>
    <row r="5" spans="1:2" ht="15" customHeight="1">
      <c r="A5" s="22" t="s">
        <v>67</v>
      </c>
      <c r="B5" s="34" t="s">
        <v>214</v>
      </c>
    </row>
    <row r="6" spans="1:2" ht="15" customHeight="1">
      <c r="A6" s="22" t="s">
        <v>68</v>
      </c>
      <c r="B6" s="34" t="s">
        <v>215</v>
      </c>
    </row>
    <row r="7" spans="1:2" ht="26.45" customHeight="1">
      <c r="A7" s="28" t="s">
        <v>216</v>
      </c>
      <c r="B7" s="35" t="s">
        <v>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CCE00F83678647808AC2407D71CC8A" ma:contentTypeVersion="17" ma:contentTypeDescription="Criar um novo documento." ma:contentTypeScope="" ma:versionID="c63eb15a00fcc3cec5d0038a2d1eb950">
  <xsd:schema xmlns:xsd="http://www.w3.org/2001/XMLSchema" xmlns:xs="http://www.w3.org/2001/XMLSchema" xmlns:p="http://schemas.microsoft.com/office/2006/metadata/properties" xmlns:ns2="e2c6381c-3af3-4213-b177-249b95dca404" xmlns:ns3="6f30a715-8044-45dd-9f5d-fea8e245fbbc" targetNamespace="http://schemas.microsoft.com/office/2006/metadata/properties" ma:root="true" ma:fieldsID="a01d54e1ace7a76cbc0ad77b785efaec" ns2:_="" ns3:_="">
    <xsd:import namespace="e2c6381c-3af3-4213-b177-249b95dca404"/>
    <xsd:import namespace="6f30a715-8044-45dd-9f5d-fea8e245fb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6381c-3af3-4213-b177-249b95dca4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cf2f7801-0b78-43b4-b8ac-2d21b0e7c3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0a715-8044-45dd-9f5d-fea8e245fbb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ceda74a-8dc9-44ff-8e24-7228def1dee9}" ma:internalName="TaxCatchAll" ma:showField="CatchAllData" ma:web="6f30a715-8044-45dd-9f5d-fea8e245fb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c6381c-3af3-4213-b177-249b95dca404">
      <Terms xmlns="http://schemas.microsoft.com/office/infopath/2007/PartnerControls"/>
    </lcf76f155ced4ddcb4097134ff3c332f>
    <TaxCatchAll xmlns="6f30a715-8044-45dd-9f5d-fea8e245fbbc" xsi:nil="true"/>
  </documentManagement>
</p:properties>
</file>

<file path=customXml/itemProps1.xml><?xml version="1.0" encoding="utf-8"?>
<ds:datastoreItem xmlns:ds="http://schemas.openxmlformats.org/officeDocument/2006/customXml" ds:itemID="{B3D95C5B-2A8D-46CD-82F3-0EC30470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F0EB7F-3A70-4440-B07F-FD9D54B59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c6381c-3af3-4213-b177-249b95dca404"/>
    <ds:schemaRef ds:uri="6f30a715-8044-45dd-9f5d-fea8e245fb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6CA2EE-3637-4A29-AD5B-48EF3E08DAC7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6f30a715-8044-45dd-9f5d-fea8e245fbbc"/>
    <ds:schemaRef ds:uri="e2c6381c-3af3-4213-b177-249b95dca404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 Executivo</vt:lpstr>
      <vt:lpstr>Ranking Quantitativo</vt:lpstr>
      <vt:lpstr>Sheet1</vt:lpstr>
      <vt:lpstr>Fundos Cliente</vt:lpstr>
      <vt:lpstr>Base Tratada</vt:lpstr>
      <vt:lpstr>Metodologia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Moreira</dc:creator>
  <cp:keywords/>
  <dc:description/>
  <cp:lastModifiedBy>Luiz Fernando Lopes</cp:lastModifiedBy>
  <cp:revision/>
  <dcterms:created xsi:type="dcterms:W3CDTF">2026-05-07T19:21:39Z</dcterms:created>
  <dcterms:modified xsi:type="dcterms:W3CDTF">2026-07-29T11:35:05Z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0x01010043CCE00F83678647808AC2407D71CC8A</vt:lpwstr>
  </property>
  <property fmtid="{D5CDD505-2E9C-101B-9397-08002B2CF9AE}" pid="3" name="MediaServiceImageTags">
    <vt:lpwstr/>
  </property>
</Properties>
</file>